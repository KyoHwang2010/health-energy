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박영환\Downloads\"/>
    </mc:Choice>
  </mc:AlternateContent>
  <xr:revisionPtr revIDLastSave="0" documentId="13_ncr:1_{16659DD1-0F6C-4569-B857-A4AE2AF9CFB3}" xr6:coauthVersionLast="47" xr6:coauthVersionMax="47" xr10:uidLastSave="{00000000-0000-0000-0000-000000000000}"/>
  <bookViews>
    <workbookView xWindow="2420" yWindow="590" windowWidth="17910" windowHeight="20750" tabRatio="500" xr2:uid="{00000000-000D-0000-FFFF-FFFF00000000}"/>
  </bookViews>
  <sheets>
    <sheet name="운동목록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2" i="1" l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<sst xmlns="http://schemas.openxmlformats.org/spreadsheetml/2006/main" count="180" uniqueCount="104">
  <si>
    <r>
      <rPr>
        <b/>
        <sz val="11"/>
        <rFont val="Noto Sans CJK SC"/>
        <family val="2"/>
      </rPr>
      <t>사용자 체중</t>
    </r>
    <r>
      <rPr>
        <b/>
        <sz val="11"/>
        <rFont val="Arial"/>
        <family val="2"/>
      </rPr>
      <t xml:space="preserve">(kg) </t>
    </r>
    <r>
      <rPr>
        <b/>
        <sz val="11"/>
        <rFont val="Noto Sans CJK SC"/>
        <family val="2"/>
      </rPr>
      <t>입력 →</t>
    </r>
  </si>
  <si>
    <r>
      <rPr>
        <i/>
        <sz val="9"/>
        <color rgb="FF808080"/>
        <rFont val="Arial"/>
        <family val="2"/>
      </rPr>
      <t>(</t>
    </r>
    <r>
      <rPr>
        <i/>
        <sz val="9"/>
        <color rgb="FF808080"/>
        <rFont val="Noto Sans CJK SC"/>
        <family val="2"/>
      </rPr>
      <t>노란 셀 수정 시 전체 칼로리 자동 재계산</t>
    </r>
    <r>
      <rPr>
        <i/>
        <sz val="9"/>
        <color rgb="FF808080"/>
        <rFont val="Arial"/>
        <family val="2"/>
      </rPr>
      <t>)</t>
    </r>
  </si>
  <si>
    <t>부위</t>
  </si>
  <si>
    <t>운동명</t>
  </si>
  <si>
    <t>MET</t>
  </si>
  <si>
    <r>
      <rPr>
        <b/>
        <sz val="11"/>
        <color rgb="FFFFFFFF"/>
        <rFont val="Noto Sans CJK SC"/>
        <family val="2"/>
      </rPr>
      <t>분당 소모 칼로리</t>
    </r>
    <r>
      <rPr>
        <b/>
        <sz val="11"/>
        <color rgb="FFFFFFFF"/>
        <rFont val="Arial"/>
        <family val="2"/>
      </rPr>
      <t>(kcal/min)</t>
    </r>
  </si>
  <si>
    <t>부위 내 효율 순위</t>
  </si>
  <si>
    <t>난이도</t>
  </si>
  <si>
    <t>준비운동</t>
  </si>
  <si>
    <r>
      <rPr>
        <sz val="10"/>
        <rFont val="Noto Sans CJK SC"/>
        <family val="2"/>
      </rPr>
      <t xml:space="preserve">제자리 조깅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가벼운</t>
    </r>
    <r>
      <rPr>
        <sz val="10"/>
        <rFont val="Arial"/>
        <family val="2"/>
      </rPr>
      <t>)</t>
    </r>
  </si>
  <si>
    <t>중</t>
  </si>
  <si>
    <r>
      <rPr>
        <sz val="10"/>
        <rFont val="Noto Sans CJK SC"/>
        <family val="2"/>
      </rPr>
      <t xml:space="preserve">무릎 굽혀 제자리 걷기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하이니 워밍업</t>
    </r>
    <r>
      <rPr>
        <sz val="10"/>
        <rFont val="Arial"/>
        <family val="2"/>
      </rPr>
      <t>)</t>
    </r>
  </si>
  <si>
    <t>하</t>
  </si>
  <si>
    <t>런지 위드 트위스트</t>
  </si>
  <si>
    <r>
      <rPr>
        <sz val="10"/>
        <rFont val="Noto Sans CJK SC"/>
        <family val="2"/>
      </rPr>
      <t xml:space="preserve">팔 크게 돌리기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암서클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</si>
  <si>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힙 서클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골반 돌리기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</si>
  <si>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목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어깨 돌리기</t>
    </r>
  </si>
  <si>
    <r>
      <rPr>
        <sz val="10"/>
        <rFont val="Noto Sans CJK SC"/>
        <family val="2"/>
      </rPr>
      <t>손목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발목 돌리기</t>
    </r>
  </si>
  <si>
    <r>
      <rPr>
        <b/>
        <sz val="10"/>
        <rFont val="Noto Sans CJK SC"/>
        <family val="2"/>
      </rPr>
      <t>상체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>가슴</t>
    </r>
  </si>
  <si>
    <r>
      <rPr>
        <sz val="10"/>
        <rFont val="Noto Sans CJK SC"/>
        <family val="2"/>
      </rPr>
      <t xml:space="preserve">플라이오메트릭 푸쉬업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박수</t>
    </r>
    <r>
      <rPr>
        <sz val="10"/>
        <rFont val="Arial"/>
        <family val="2"/>
      </rPr>
      <t>)</t>
    </r>
  </si>
  <si>
    <t>상</t>
  </si>
  <si>
    <t>디클라인 푸쉬업</t>
  </si>
  <si>
    <t>아처 푸쉬업</t>
  </si>
  <si>
    <t>다이아몬드 푸쉬업</t>
  </si>
  <si>
    <r>
      <rPr>
        <sz val="10"/>
        <rFont val="Noto Sans CJK SC"/>
        <family val="2"/>
      </rPr>
      <t xml:space="preserve">푸쉬업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일반</t>
    </r>
    <r>
      <rPr>
        <sz val="10"/>
        <rFont val="Arial"/>
        <family val="2"/>
      </rPr>
      <t>)</t>
    </r>
  </si>
  <si>
    <t>와이드 푸쉬업</t>
  </si>
  <si>
    <t>인클라인 푸쉬업</t>
  </si>
  <si>
    <t>무릎 푸쉬업</t>
  </si>
  <si>
    <r>
      <rPr>
        <b/>
        <sz val="10"/>
        <rFont val="Noto Sans CJK SC"/>
        <family val="2"/>
      </rPr>
      <t>상체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>등</t>
    </r>
  </si>
  <si>
    <r>
      <rPr>
        <sz val="10"/>
        <rFont val="Noto Sans CJK SC"/>
        <family val="2"/>
      </rPr>
      <t xml:space="preserve">풀업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턱걸이</t>
    </r>
    <r>
      <rPr>
        <sz val="10"/>
        <rFont val="Arial"/>
        <family val="2"/>
      </rPr>
      <t>)</t>
    </r>
  </si>
  <si>
    <t>친업</t>
  </si>
  <si>
    <t>도어 프레임 로우</t>
  </si>
  <si>
    <t>타월 로우</t>
  </si>
  <si>
    <t>슈퍼맨</t>
  </si>
  <si>
    <t>리버스 스노우 엔젤</t>
  </si>
  <si>
    <r>
      <rPr>
        <b/>
        <sz val="10"/>
        <rFont val="Noto Sans CJK SC"/>
        <family val="2"/>
      </rPr>
      <t>상체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>어깨</t>
    </r>
  </si>
  <si>
    <t>핸드스탠드 푸쉬업</t>
  </si>
  <si>
    <t>파이크 푸쉬업</t>
  </si>
  <si>
    <t>플랭크 숄더 탭</t>
  </si>
  <si>
    <t>월 핸드스탠드</t>
  </si>
  <si>
    <r>
      <rPr>
        <b/>
        <sz val="10"/>
        <rFont val="Noto Sans CJK SC"/>
        <family val="2"/>
      </rPr>
      <t>상체</t>
    </r>
    <r>
      <rPr>
        <b/>
        <sz val="10"/>
        <rFont val="Arial"/>
        <family val="2"/>
      </rPr>
      <t>-</t>
    </r>
    <r>
      <rPr>
        <b/>
        <sz val="10"/>
        <rFont val="Noto Sans CJK SC"/>
        <family val="2"/>
      </rPr>
      <t>팔</t>
    </r>
  </si>
  <si>
    <r>
      <rPr>
        <sz val="10"/>
        <rFont val="Noto Sans CJK SC"/>
        <family val="2"/>
      </rPr>
      <t xml:space="preserve">딥스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의자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벤치</t>
    </r>
    <r>
      <rPr>
        <sz val="10"/>
        <rFont val="Arial"/>
        <family val="2"/>
      </rPr>
      <t>)</t>
    </r>
  </si>
  <si>
    <t>체어 딥스</t>
  </si>
  <si>
    <r>
      <rPr>
        <sz val="10"/>
        <rFont val="Noto Sans CJK SC"/>
        <family val="2"/>
      </rPr>
      <t xml:space="preserve">삼두 킥백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밴드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물병</t>
    </r>
    <r>
      <rPr>
        <sz val="10"/>
        <rFont val="Arial"/>
        <family val="2"/>
      </rPr>
      <t>)</t>
    </r>
  </si>
  <si>
    <t>하체</t>
  </si>
  <si>
    <t>박스 점프</t>
  </si>
  <si>
    <t>피스톨 스쿼트</t>
  </si>
  <si>
    <t>점프 스쿼트</t>
  </si>
  <si>
    <t>브로드 점프</t>
  </si>
  <si>
    <t>스텝업</t>
  </si>
  <si>
    <t>불가리안 스플릿 스쿼트</t>
  </si>
  <si>
    <r>
      <rPr>
        <sz val="10"/>
        <rFont val="Noto Sans CJK SC"/>
        <family val="2"/>
      </rPr>
      <t xml:space="preserve">스쿼트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일반</t>
    </r>
    <r>
      <rPr>
        <sz val="10"/>
        <rFont val="Arial"/>
        <family val="2"/>
      </rPr>
      <t>)</t>
    </r>
  </si>
  <si>
    <t>서모 스쿼트</t>
  </si>
  <si>
    <t>워킹 런지</t>
  </si>
  <si>
    <t>힙 쓰러스트</t>
  </si>
  <si>
    <r>
      <rPr>
        <sz val="10"/>
        <rFont val="Noto Sans CJK SC"/>
        <family val="2"/>
      </rPr>
      <t xml:space="preserve">런지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전진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후진</t>
    </r>
    <r>
      <rPr>
        <sz val="10"/>
        <rFont val="Arial"/>
        <family val="2"/>
      </rPr>
      <t>)</t>
    </r>
  </si>
  <si>
    <t>사이드 런지</t>
  </si>
  <si>
    <t>커브시 런지</t>
  </si>
  <si>
    <t>글루트 브릿지</t>
  </si>
  <si>
    <t>월싯</t>
  </si>
  <si>
    <t>카프 레이즈</t>
  </si>
  <si>
    <t>코어</t>
  </si>
  <si>
    <t>마운틴 클라이머</t>
  </si>
  <si>
    <t>행잉 레그레이즈</t>
  </si>
  <si>
    <t>바이시클 크런치</t>
  </si>
  <si>
    <t>러시안 트위스트</t>
  </si>
  <si>
    <t>플랭크 업다운</t>
  </si>
  <si>
    <r>
      <rPr>
        <sz val="10"/>
        <rFont val="Arial"/>
        <family val="2"/>
      </rPr>
      <t>V-</t>
    </r>
    <r>
      <rPr>
        <sz val="10"/>
        <rFont val="Noto Sans CJK SC"/>
        <family val="2"/>
      </rPr>
      <t>업</t>
    </r>
  </si>
  <si>
    <t>크런치</t>
  </si>
  <si>
    <t>레그레이즈</t>
  </si>
  <si>
    <r>
      <rPr>
        <sz val="10"/>
        <rFont val="Noto Sans CJK SC"/>
        <family val="2"/>
      </rPr>
      <t xml:space="preserve">플랭크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기본</t>
    </r>
    <r>
      <rPr>
        <sz val="10"/>
        <rFont val="Arial"/>
        <family val="2"/>
      </rPr>
      <t>)</t>
    </r>
  </si>
  <si>
    <t>사이드 플랭크</t>
  </si>
  <si>
    <t>할로우 바디 홀드</t>
  </si>
  <si>
    <t>데드 버그</t>
  </si>
  <si>
    <t>버드독</t>
  </si>
  <si>
    <r>
      <rPr>
        <b/>
        <sz val="10"/>
        <rFont val="Noto Sans CJK SC"/>
        <family val="2"/>
      </rPr>
      <t>전신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복합</t>
    </r>
  </si>
  <si>
    <r>
      <rPr>
        <sz val="10"/>
        <rFont val="Noto Sans CJK SC"/>
        <family val="2"/>
      </rPr>
      <t xml:space="preserve">버피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푸쉬업</t>
    </r>
  </si>
  <si>
    <r>
      <rPr>
        <sz val="10"/>
        <rFont val="Noto Sans CJK SC"/>
        <family val="2"/>
      </rPr>
      <t xml:space="preserve">버피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버피 테스트</t>
    </r>
    <r>
      <rPr>
        <sz val="10"/>
        <rFont val="Arial"/>
        <family val="2"/>
      </rPr>
      <t>)</t>
    </r>
  </si>
  <si>
    <t>스쿼트 스러스트</t>
  </si>
  <si>
    <t>점핑 잭</t>
  </si>
  <si>
    <t>베어 크롤</t>
  </si>
  <si>
    <t>스케이터 홉</t>
  </si>
  <si>
    <t>크랩 워크</t>
  </si>
  <si>
    <r>
      <rPr>
        <b/>
        <sz val="10"/>
        <rFont val="Noto Sans CJK SC"/>
        <family val="2"/>
      </rPr>
      <t>유연성</t>
    </r>
    <r>
      <rPr>
        <b/>
        <sz val="10"/>
        <rFont val="Arial"/>
        <family val="2"/>
      </rPr>
      <t>/</t>
    </r>
    <r>
      <rPr>
        <b/>
        <sz val="10"/>
        <rFont val="Noto Sans CJK SC"/>
        <family val="2"/>
      </rPr>
      <t>모빌리티</t>
    </r>
  </si>
  <si>
    <t>폼롤러 마사지</t>
  </si>
  <si>
    <t>햄스트링 스트레칭</t>
  </si>
  <si>
    <t>대퇴사두근 스트레칭</t>
  </si>
  <si>
    <t>고관절 굴곡근 스트레칭</t>
  </si>
  <si>
    <t>어깨 크로스 스트레칭</t>
  </si>
  <si>
    <t>삼두 스트레칭</t>
  </si>
  <si>
    <r>
      <rPr>
        <sz val="10"/>
        <rFont val="Noto Sans CJK SC"/>
        <family val="2"/>
      </rPr>
      <t>고양이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소 자세</t>
    </r>
  </si>
  <si>
    <t>나비 자세</t>
  </si>
  <si>
    <t>차일드 포즈</t>
  </si>
  <si>
    <t>일상 운동</t>
  </si>
  <si>
    <t>계단 오르내리기</t>
  </si>
  <si>
    <r>
      <rPr>
        <sz val="10"/>
        <rFont val="Arial"/>
        <family val="2"/>
      </rPr>
      <t xml:space="preserve">TV </t>
    </r>
    <r>
      <rPr>
        <sz val="10"/>
        <rFont val="Noto Sans CJK SC"/>
        <family val="2"/>
      </rPr>
      <t>보며 플랭크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스쿼트 챌린지</t>
    </r>
  </si>
  <si>
    <t>양치하면서 스쿼트</t>
  </si>
  <si>
    <t>책상 옆 서서 카프 레이즈</t>
  </si>
  <si>
    <t>의자에 앉아 종아리 들기</t>
  </si>
  <si>
    <t>설거지하며 까치발 서기</t>
  </si>
  <si>
    <t>※ 참고</t>
  </si>
  <si>
    <r>
      <rPr>
        <sz val="9"/>
        <rFont val="Arial"/>
        <family val="2"/>
      </rPr>
      <t xml:space="preserve">- </t>
    </r>
    <r>
      <rPr>
        <sz val="9"/>
        <rFont val="Noto Sans CJK SC"/>
        <family val="2"/>
      </rPr>
      <t xml:space="preserve">분당 소모 칼로리 </t>
    </r>
    <r>
      <rPr>
        <sz val="9"/>
        <rFont val="Arial"/>
        <family val="2"/>
      </rPr>
      <t xml:space="preserve">= MET × 3.5 × </t>
    </r>
    <r>
      <rPr>
        <sz val="9"/>
        <rFont val="Noto Sans CJK SC"/>
        <family val="2"/>
      </rPr>
      <t>체중</t>
    </r>
    <r>
      <rPr>
        <sz val="9"/>
        <rFont val="Arial"/>
        <family val="2"/>
      </rPr>
      <t>(kg) ÷ 200 (</t>
    </r>
    <r>
      <rPr>
        <sz val="9"/>
        <rFont val="Noto Sans CJK SC"/>
        <family val="2"/>
      </rPr>
      <t>일반적인 신체활동 칼로리 추정 공식</t>
    </r>
    <r>
      <rPr>
        <sz val="9"/>
        <rFont val="Arial"/>
        <family val="2"/>
      </rPr>
      <t>)</t>
    </r>
  </si>
  <si>
    <r>
      <rPr>
        <sz val="9"/>
        <rFont val="Arial"/>
        <family val="2"/>
      </rPr>
      <t xml:space="preserve">- MET </t>
    </r>
    <r>
      <rPr>
        <sz val="9"/>
        <rFont val="Noto Sans CJK SC"/>
        <family val="2"/>
      </rPr>
      <t>수치는 운동 강도별 일반적인 추정값이며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개인의 체력</t>
    </r>
    <r>
      <rPr>
        <sz val="9"/>
        <rFont val="Arial"/>
        <family val="2"/>
      </rPr>
      <t>/</t>
    </r>
    <r>
      <rPr>
        <sz val="9"/>
        <rFont val="Noto Sans CJK SC"/>
        <family val="2"/>
      </rPr>
      <t>속도</t>
    </r>
    <r>
      <rPr>
        <sz val="9"/>
        <rFont val="Arial"/>
        <family val="2"/>
      </rPr>
      <t>/</t>
    </r>
    <r>
      <rPr>
        <sz val="9"/>
        <rFont val="Noto Sans CJK SC"/>
        <family val="2"/>
      </rPr>
      <t>자세에 따라 실제 소모량은 달라질 수 있습니다</t>
    </r>
    <r>
      <rPr>
        <sz val="9"/>
        <rFont val="Arial"/>
        <family val="2"/>
      </rPr>
      <t>.</t>
    </r>
  </si>
  <si>
    <r>
      <rPr>
        <sz val="9"/>
        <rFont val="Arial"/>
        <family val="2"/>
      </rPr>
      <t>- '</t>
    </r>
    <r>
      <rPr>
        <sz val="9"/>
        <rFont val="Noto Sans CJK SC"/>
        <family val="2"/>
      </rPr>
      <t>부위 내 효율 순위</t>
    </r>
    <r>
      <rPr>
        <sz val="9"/>
        <rFont val="Arial"/>
        <family val="2"/>
      </rPr>
      <t>'</t>
    </r>
    <r>
      <rPr>
        <sz val="9"/>
        <rFont val="Noto Sans CJK SC"/>
        <family val="2"/>
      </rPr>
      <t xml:space="preserve">는 같은 부위 그룹 내에서 분당 소모 칼로리가 높은 순서입니다 </t>
    </r>
    <r>
      <rPr>
        <sz val="9"/>
        <rFont val="Arial"/>
        <family val="2"/>
      </rPr>
      <t>(1</t>
    </r>
    <r>
      <rPr>
        <sz val="9"/>
        <rFont val="Noto Sans CJK SC"/>
        <family val="2"/>
      </rPr>
      <t>위가 가장 효율적</t>
    </r>
    <r>
      <rPr>
        <sz val="9"/>
        <rFont val="Arial"/>
        <family val="2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</si>
</sst>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>
    <font>
      <sz val="11"/>
      <color theme="1"/>
      <name val="Calibri"/>
      <family val="2"/>
      <charset val="1"/>
    </font>
    <font>
      <b/>
      <sz val="11"/>
      <name val="Noto Sans CJK SC"/>
      <family val="2"/>
    </font>
    <font>
      <b/>
      <sz val="11"/>
      <name val="Arial"/>
      <family val="2"/>
    </font>
    <font>
      <sz val="11"/>
      <name val="Arial"/>
      <family val="2"/>
    </font>
    <font>
      <i/>
      <sz val="9"/>
      <color rgb="FF808080"/>
      <name val="Arial"/>
      <family val="2"/>
    </font>
    <font>
      <i/>
      <sz val="9"/>
      <color rgb="FF808080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b/>
      <sz val="10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name val="Noto Sans CJK SC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4" borderId="1" xfId="0" applyFont="1" applyFill="1" applyBorder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/>
    <xf numFmtId="0" fontId="4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76" fontId="10" fillId="0" borderId="1" xfId="0" applyNumberFormat="1" applyFont="1" applyBorder="1"/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0" xfId="0" applyFont="1"/>
    <xf numFmtId="0" fontId="12" fillId="0" borderId="0" xfId="0" applyFont="1"/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zoomScaleNormal="100" workbookViewId="0">
      <pane ySplit="3" topLeftCell="A10" activePane="bottomLeft" state="frozen"/>
      <selection pane="bottomLeft" activeCell="A11" sqref="A11:F18"/>
    </sheetView>
  </sheetViews>
  <sheetFormatPr defaultColWidth="8.6328125" defaultRowHeight="14.5"/>
  <cols>
    <col min="1" max="1" width="16" customWidth="1"/>
    <col min="2" max="2" width="32" customWidth="1"/>
    <col min="3" max="3" width="8" customWidth="1"/>
    <col min="4" max="4" width="22" customWidth="1"/>
    <col min="5" max="5" width="16" customWidth="1"/>
    <col min="6" max="6" width="8" customWidth="1"/>
  </cols>
  <sheetData>
    <row r="1" spans="1:6">
      <c r="A1" s="2" t="s">
        <v>0</v>
      </c>
      <c r="B1" s="3">
        <v>70</v>
      </c>
      <c r="C1" s="4" t="s">
        <v>1</v>
      </c>
    </row>
    <row r="3" spans="1:6" ht="28">
      <c r="A3" s="5" t="s">
        <v>2</v>
      </c>
      <c r="B3" s="5" t="s">
        <v>3</v>
      </c>
      <c r="C3" s="6" t="s">
        <v>4</v>
      </c>
      <c r="D3" s="5" t="s">
        <v>5</v>
      </c>
      <c r="E3" s="5" t="s">
        <v>6</v>
      </c>
      <c r="F3" s="5" t="s">
        <v>7</v>
      </c>
    </row>
    <row r="4" spans="1:6">
      <c r="A4" s="1" t="s">
        <v>8</v>
      </c>
      <c r="B4" s="7" t="s">
        <v>9</v>
      </c>
      <c r="C4" s="8">
        <v>6</v>
      </c>
      <c r="D4" s="8">
        <f t="shared" ref="D4:D35" si="0">C4*3.5*$B$1/200</f>
        <v>7.35</v>
      </c>
      <c r="E4" s="9">
        <v>1</v>
      </c>
      <c r="F4" s="10" t="s">
        <v>10</v>
      </c>
    </row>
    <row r="5" spans="1:6">
      <c r="A5" s="1"/>
      <c r="B5" s="7" t="s">
        <v>11</v>
      </c>
      <c r="C5" s="8">
        <v>4</v>
      </c>
      <c r="D5" s="8">
        <f t="shared" si="0"/>
        <v>4.9000000000000004</v>
      </c>
      <c r="E5" s="10">
        <v>2</v>
      </c>
      <c r="F5" s="10" t="s">
        <v>12</v>
      </c>
    </row>
    <row r="6" spans="1:6">
      <c r="A6" s="1"/>
      <c r="B6" s="7" t="s">
        <v>13</v>
      </c>
      <c r="C6" s="8">
        <v>3.5</v>
      </c>
      <c r="D6" s="8">
        <f t="shared" si="0"/>
        <v>4.2874999999999996</v>
      </c>
      <c r="E6" s="10">
        <v>3</v>
      </c>
      <c r="F6" s="10" t="s">
        <v>12</v>
      </c>
    </row>
    <row r="7" spans="1:6">
      <c r="A7" s="1"/>
      <c r="B7" s="7" t="s">
        <v>14</v>
      </c>
      <c r="C7" s="8">
        <v>2.5</v>
      </c>
      <c r="D7" s="8">
        <f t="shared" si="0"/>
        <v>3.0625</v>
      </c>
      <c r="E7" s="10">
        <v>4</v>
      </c>
      <c r="F7" s="10" t="s">
        <v>12</v>
      </c>
    </row>
    <row r="8" spans="1:6">
      <c r="A8" s="1"/>
      <c r="B8" s="7" t="s">
        <v>15</v>
      </c>
      <c r="C8" s="8">
        <v>2.5</v>
      </c>
      <c r="D8" s="8">
        <f t="shared" si="0"/>
        <v>3.0625</v>
      </c>
      <c r="E8" s="10">
        <v>5</v>
      </c>
      <c r="F8" s="10" t="s">
        <v>12</v>
      </c>
    </row>
    <row r="9" spans="1:6">
      <c r="A9" s="1"/>
      <c r="B9" s="7" t="s">
        <v>16</v>
      </c>
      <c r="C9" s="8">
        <v>2</v>
      </c>
      <c r="D9" s="8">
        <f t="shared" si="0"/>
        <v>2.4500000000000002</v>
      </c>
      <c r="E9" s="10">
        <v>6</v>
      </c>
      <c r="F9" s="10" t="s">
        <v>12</v>
      </c>
    </row>
    <row r="10" spans="1:6">
      <c r="A10" s="1"/>
      <c r="B10" s="7" t="s">
        <v>17</v>
      </c>
      <c r="C10" s="8">
        <v>2</v>
      </c>
      <c r="D10" s="8">
        <f t="shared" si="0"/>
        <v>2.4500000000000002</v>
      </c>
      <c r="E10" s="10">
        <v>7</v>
      </c>
      <c r="F10" s="10" t="s">
        <v>12</v>
      </c>
    </row>
    <row r="11" spans="1:6">
      <c r="A11" s="14" t="s">
        <v>18</v>
      </c>
      <c r="B11" s="7" t="s">
        <v>19</v>
      </c>
      <c r="C11" s="8">
        <v>10</v>
      </c>
      <c r="D11" s="8">
        <f t="shared" si="0"/>
        <v>12.25</v>
      </c>
      <c r="E11" s="10">
        <v>1</v>
      </c>
      <c r="F11" s="10" t="s">
        <v>20</v>
      </c>
    </row>
    <row r="12" spans="1:6">
      <c r="A12" s="15"/>
      <c r="B12" s="7" t="s">
        <v>21</v>
      </c>
      <c r="C12" s="8">
        <v>8.5</v>
      </c>
      <c r="D12" s="8">
        <f t="shared" si="0"/>
        <v>10.4125</v>
      </c>
      <c r="E12" s="10">
        <v>2</v>
      </c>
      <c r="F12" s="10" t="s">
        <v>20</v>
      </c>
    </row>
    <row r="13" spans="1:6">
      <c r="A13" s="15"/>
      <c r="B13" s="7" t="s">
        <v>22</v>
      </c>
      <c r="C13" s="8">
        <v>8.5</v>
      </c>
      <c r="D13" s="8">
        <f t="shared" si="0"/>
        <v>10.4125</v>
      </c>
      <c r="E13" s="10">
        <v>3</v>
      </c>
      <c r="F13" s="10" t="s">
        <v>20</v>
      </c>
    </row>
    <row r="14" spans="1:6">
      <c r="A14" s="15"/>
      <c r="B14" s="7" t="s">
        <v>23</v>
      </c>
      <c r="C14" s="8">
        <v>8.5</v>
      </c>
      <c r="D14" s="8">
        <f t="shared" si="0"/>
        <v>10.4125</v>
      </c>
      <c r="E14" s="10">
        <v>4</v>
      </c>
      <c r="F14" s="10" t="s">
        <v>20</v>
      </c>
    </row>
    <row r="15" spans="1:6">
      <c r="A15" s="15"/>
      <c r="B15" s="7" t="s">
        <v>24</v>
      </c>
      <c r="C15" s="8">
        <v>8</v>
      </c>
      <c r="D15" s="8">
        <f t="shared" si="0"/>
        <v>9.8000000000000007</v>
      </c>
      <c r="E15" s="10">
        <v>5</v>
      </c>
      <c r="F15" s="10" t="s">
        <v>20</v>
      </c>
    </row>
    <row r="16" spans="1:6">
      <c r="A16" s="15"/>
      <c r="B16" s="7" t="s">
        <v>25</v>
      </c>
      <c r="C16" s="8">
        <v>7.5</v>
      </c>
      <c r="D16" s="8">
        <f t="shared" si="0"/>
        <v>9.1875</v>
      </c>
      <c r="E16" s="10">
        <v>6</v>
      </c>
      <c r="F16" s="10" t="s">
        <v>10</v>
      </c>
    </row>
    <row r="17" spans="1:6">
      <c r="A17" s="15"/>
      <c r="B17" s="7" t="s">
        <v>26</v>
      </c>
      <c r="C17" s="8">
        <v>5</v>
      </c>
      <c r="D17" s="8">
        <f t="shared" si="0"/>
        <v>6.125</v>
      </c>
      <c r="E17" s="10">
        <v>7</v>
      </c>
      <c r="F17" s="10" t="s">
        <v>10</v>
      </c>
    </row>
    <row r="18" spans="1:6">
      <c r="A18" s="16"/>
      <c r="B18" s="7" t="s">
        <v>27</v>
      </c>
      <c r="C18" s="8">
        <v>4</v>
      </c>
      <c r="D18" s="8">
        <f t="shared" si="0"/>
        <v>4.9000000000000004</v>
      </c>
      <c r="E18" s="10">
        <v>8</v>
      </c>
      <c r="F18" s="10" t="s">
        <v>12</v>
      </c>
    </row>
    <row r="19" spans="1:6">
      <c r="A19" s="1" t="s">
        <v>28</v>
      </c>
      <c r="B19" s="7" t="s">
        <v>29</v>
      </c>
      <c r="C19" s="8">
        <v>8</v>
      </c>
      <c r="D19" s="8">
        <f t="shared" si="0"/>
        <v>9.8000000000000007</v>
      </c>
      <c r="E19" s="10">
        <v>1</v>
      </c>
      <c r="F19" s="10" t="s">
        <v>20</v>
      </c>
    </row>
    <row r="20" spans="1:6">
      <c r="A20" s="1"/>
      <c r="B20" s="7" t="s">
        <v>30</v>
      </c>
      <c r="C20" s="8">
        <v>8</v>
      </c>
      <c r="D20" s="8">
        <f t="shared" si="0"/>
        <v>9.8000000000000007</v>
      </c>
      <c r="E20" s="10">
        <v>2</v>
      </c>
      <c r="F20" s="10" t="s">
        <v>20</v>
      </c>
    </row>
    <row r="21" spans="1:6">
      <c r="A21" s="1"/>
      <c r="B21" s="7" t="s">
        <v>31</v>
      </c>
      <c r="C21" s="8">
        <v>4</v>
      </c>
      <c r="D21" s="8">
        <f t="shared" si="0"/>
        <v>4.9000000000000004</v>
      </c>
      <c r="E21" s="10">
        <v>3</v>
      </c>
      <c r="F21" s="10" t="s">
        <v>12</v>
      </c>
    </row>
    <row r="22" spans="1:6">
      <c r="A22" s="1"/>
      <c r="B22" s="7" t="s">
        <v>32</v>
      </c>
      <c r="C22" s="8">
        <v>4</v>
      </c>
      <c r="D22" s="8">
        <f t="shared" si="0"/>
        <v>4.9000000000000004</v>
      </c>
      <c r="E22" s="10">
        <v>4</v>
      </c>
      <c r="F22" s="10" t="s">
        <v>12</v>
      </c>
    </row>
    <row r="23" spans="1:6">
      <c r="A23" s="1"/>
      <c r="B23" s="7" t="s">
        <v>33</v>
      </c>
      <c r="C23" s="8">
        <v>3</v>
      </c>
      <c r="D23" s="8">
        <f t="shared" si="0"/>
        <v>3.6749999999999998</v>
      </c>
      <c r="E23" s="10">
        <v>5</v>
      </c>
      <c r="F23" s="10" t="s">
        <v>12</v>
      </c>
    </row>
    <row r="24" spans="1:6">
      <c r="A24" s="1"/>
      <c r="B24" s="7" t="s">
        <v>34</v>
      </c>
      <c r="C24" s="8">
        <v>3</v>
      </c>
      <c r="D24" s="8">
        <f t="shared" si="0"/>
        <v>3.6749999999999998</v>
      </c>
      <c r="E24" s="10">
        <v>6</v>
      </c>
      <c r="F24" s="10" t="s">
        <v>12</v>
      </c>
    </row>
    <row r="25" spans="1:6">
      <c r="A25" s="1" t="s">
        <v>35</v>
      </c>
      <c r="B25" s="7" t="s">
        <v>36</v>
      </c>
      <c r="C25" s="8">
        <v>8</v>
      </c>
      <c r="D25" s="8">
        <f t="shared" si="0"/>
        <v>9.8000000000000007</v>
      </c>
      <c r="E25" s="10">
        <v>1</v>
      </c>
      <c r="F25" s="10" t="s">
        <v>20</v>
      </c>
    </row>
    <row r="26" spans="1:6">
      <c r="A26" s="1"/>
      <c r="B26" s="7" t="s">
        <v>37</v>
      </c>
      <c r="C26" s="8">
        <v>6</v>
      </c>
      <c r="D26" s="8">
        <f t="shared" si="0"/>
        <v>7.35</v>
      </c>
      <c r="E26" s="10">
        <v>2</v>
      </c>
      <c r="F26" s="10" t="s">
        <v>10</v>
      </c>
    </row>
    <row r="27" spans="1:6">
      <c r="A27" s="1"/>
      <c r="B27" s="7" t="s">
        <v>38</v>
      </c>
      <c r="C27" s="8">
        <v>4</v>
      </c>
      <c r="D27" s="8">
        <f t="shared" si="0"/>
        <v>4.9000000000000004</v>
      </c>
      <c r="E27" s="10">
        <v>3</v>
      </c>
      <c r="F27" s="10" t="s">
        <v>12</v>
      </c>
    </row>
    <row r="28" spans="1:6">
      <c r="A28" s="1"/>
      <c r="B28" s="7" t="s">
        <v>39</v>
      </c>
      <c r="C28" s="8">
        <v>3.5</v>
      </c>
      <c r="D28" s="8">
        <f t="shared" si="0"/>
        <v>4.2874999999999996</v>
      </c>
      <c r="E28" s="10">
        <v>4</v>
      </c>
      <c r="F28" s="10" t="s">
        <v>12</v>
      </c>
    </row>
    <row r="29" spans="1:6">
      <c r="A29" s="1" t="s">
        <v>40</v>
      </c>
      <c r="B29" s="7" t="s">
        <v>41</v>
      </c>
      <c r="C29" s="8">
        <v>6</v>
      </c>
      <c r="D29" s="8">
        <f t="shared" si="0"/>
        <v>7.35</v>
      </c>
      <c r="E29" s="10">
        <v>1</v>
      </c>
      <c r="F29" s="10" t="s">
        <v>10</v>
      </c>
    </row>
    <row r="30" spans="1:6">
      <c r="A30" s="1"/>
      <c r="B30" s="7" t="s">
        <v>42</v>
      </c>
      <c r="C30" s="8">
        <v>5</v>
      </c>
      <c r="D30" s="8">
        <f t="shared" si="0"/>
        <v>6.125</v>
      </c>
      <c r="E30" s="10">
        <v>2</v>
      </c>
      <c r="F30" s="10" t="s">
        <v>10</v>
      </c>
    </row>
    <row r="31" spans="1:6">
      <c r="A31" s="1"/>
      <c r="B31" s="7" t="s">
        <v>43</v>
      </c>
      <c r="C31" s="8">
        <v>3</v>
      </c>
      <c r="D31" s="8">
        <f t="shared" si="0"/>
        <v>3.6749999999999998</v>
      </c>
      <c r="E31" s="10">
        <v>3</v>
      </c>
      <c r="F31" s="10" t="s">
        <v>12</v>
      </c>
    </row>
    <row r="32" spans="1:6">
      <c r="A32" s="1" t="s">
        <v>44</v>
      </c>
      <c r="B32" s="7" t="s">
        <v>45</v>
      </c>
      <c r="C32" s="8">
        <v>10</v>
      </c>
      <c r="D32" s="8">
        <f t="shared" si="0"/>
        <v>12.25</v>
      </c>
      <c r="E32" s="10">
        <v>1</v>
      </c>
      <c r="F32" s="10" t="s">
        <v>20</v>
      </c>
    </row>
    <row r="33" spans="1:6">
      <c r="A33" s="1"/>
      <c r="B33" s="7" t="s">
        <v>46</v>
      </c>
      <c r="C33" s="8">
        <v>8.5</v>
      </c>
      <c r="D33" s="8">
        <f t="shared" si="0"/>
        <v>10.4125</v>
      </c>
      <c r="E33" s="10">
        <v>2</v>
      </c>
      <c r="F33" s="10" t="s">
        <v>20</v>
      </c>
    </row>
    <row r="34" spans="1:6">
      <c r="A34" s="1"/>
      <c r="B34" s="7" t="s">
        <v>47</v>
      </c>
      <c r="C34" s="8">
        <v>8</v>
      </c>
      <c r="D34" s="8">
        <f t="shared" si="0"/>
        <v>9.8000000000000007</v>
      </c>
      <c r="E34" s="10">
        <v>3</v>
      </c>
      <c r="F34" s="10" t="s">
        <v>20</v>
      </c>
    </row>
    <row r="35" spans="1:6">
      <c r="A35" s="1"/>
      <c r="B35" s="7" t="s">
        <v>48</v>
      </c>
      <c r="C35" s="8">
        <v>8</v>
      </c>
      <c r="D35" s="8">
        <f t="shared" si="0"/>
        <v>9.8000000000000007</v>
      </c>
      <c r="E35" s="10">
        <v>4</v>
      </c>
      <c r="F35" s="10" t="s">
        <v>20</v>
      </c>
    </row>
    <row r="36" spans="1:6">
      <c r="A36" s="1"/>
      <c r="B36" s="7" t="s">
        <v>49</v>
      </c>
      <c r="C36" s="8">
        <v>6</v>
      </c>
      <c r="D36" s="8">
        <f t="shared" ref="D36:D67" si="1">C36*3.5*$B$1/200</f>
        <v>7.35</v>
      </c>
      <c r="E36" s="10">
        <v>5</v>
      </c>
      <c r="F36" s="10" t="s">
        <v>10</v>
      </c>
    </row>
    <row r="37" spans="1:6">
      <c r="A37" s="1"/>
      <c r="B37" s="7" t="s">
        <v>50</v>
      </c>
      <c r="C37" s="8">
        <v>6</v>
      </c>
      <c r="D37" s="8">
        <f t="shared" si="1"/>
        <v>7.35</v>
      </c>
      <c r="E37" s="10">
        <v>6</v>
      </c>
      <c r="F37" s="10" t="s">
        <v>10</v>
      </c>
    </row>
    <row r="38" spans="1:6">
      <c r="A38" s="1"/>
      <c r="B38" s="7" t="s">
        <v>51</v>
      </c>
      <c r="C38" s="8">
        <v>5</v>
      </c>
      <c r="D38" s="8">
        <f t="shared" si="1"/>
        <v>6.125</v>
      </c>
      <c r="E38" s="10">
        <v>7</v>
      </c>
      <c r="F38" s="10" t="s">
        <v>10</v>
      </c>
    </row>
    <row r="39" spans="1:6">
      <c r="A39" s="1"/>
      <c r="B39" s="7" t="s">
        <v>52</v>
      </c>
      <c r="C39" s="8">
        <v>5</v>
      </c>
      <c r="D39" s="8">
        <f t="shared" si="1"/>
        <v>6.125</v>
      </c>
      <c r="E39" s="10">
        <v>8</v>
      </c>
      <c r="F39" s="10" t="s">
        <v>10</v>
      </c>
    </row>
    <row r="40" spans="1:6">
      <c r="A40" s="1"/>
      <c r="B40" s="7" t="s">
        <v>53</v>
      </c>
      <c r="C40" s="8">
        <v>4.5</v>
      </c>
      <c r="D40" s="8">
        <f t="shared" si="1"/>
        <v>5.5125000000000002</v>
      </c>
      <c r="E40" s="10">
        <v>9</v>
      </c>
      <c r="F40" s="10" t="s">
        <v>10</v>
      </c>
    </row>
    <row r="41" spans="1:6">
      <c r="A41" s="1"/>
      <c r="B41" s="7" t="s">
        <v>54</v>
      </c>
      <c r="C41" s="8">
        <v>4</v>
      </c>
      <c r="D41" s="8">
        <f t="shared" si="1"/>
        <v>4.9000000000000004</v>
      </c>
      <c r="E41" s="10">
        <v>10</v>
      </c>
      <c r="F41" s="10" t="s">
        <v>12</v>
      </c>
    </row>
    <row r="42" spans="1:6">
      <c r="A42" s="1"/>
      <c r="B42" s="7" t="s">
        <v>55</v>
      </c>
      <c r="C42" s="8">
        <v>4</v>
      </c>
      <c r="D42" s="8">
        <f t="shared" si="1"/>
        <v>4.9000000000000004</v>
      </c>
      <c r="E42" s="10">
        <v>11</v>
      </c>
      <c r="F42" s="10" t="s">
        <v>12</v>
      </c>
    </row>
    <row r="43" spans="1:6">
      <c r="A43" s="1"/>
      <c r="B43" s="7" t="s">
        <v>56</v>
      </c>
      <c r="C43" s="8">
        <v>4</v>
      </c>
      <c r="D43" s="8">
        <f t="shared" si="1"/>
        <v>4.9000000000000004</v>
      </c>
      <c r="E43" s="10">
        <v>12</v>
      </c>
      <c r="F43" s="10" t="s">
        <v>12</v>
      </c>
    </row>
    <row r="44" spans="1:6">
      <c r="A44" s="1"/>
      <c r="B44" s="7" t="s">
        <v>57</v>
      </c>
      <c r="C44" s="8">
        <v>4</v>
      </c>
      <c r="D44" s="8">
        <f t="shared" si="1"/>
        <v>4.9000000000000004</v>
      </c>
      <c r="E44" s="10">
        <v>13</v>
      </c>
      <c r="F44" s="10" t="s">
        <v>12</v>
      </c>
    </row>
    <row r="45" spans="1:6">
      <c r="A45" s="1"/>
      <c r="B45" s="7" t="s">
        <v>58</v>
      </c>
      <c r="C45" s="8">
        <v>3</v>
      </c>
      <c r="D45" s="8">
        <f t="shared" si="1"/>
        <v>3.6749999999999998</v>
      </c>
      <c r="E45" s="10">
        <v>14</v>
      </c>
      <c r="F45" s="10" t="s">
        <v>12</v>
      </c>
    </row>
    <row r="46" spans="1:6">
      <c r="A46" s="1"/>
      <c r="B46" s="7" t="s">
        <v>59</v>
      </c>
      <c r="C46" s="8">
        <v>3</v>
      </c>
      <c r="D46" s="8">
        <f t="shared" si="1"/>
        <v>3.6749999999999998</v>
      </c>
      <c r="E46" s="10">
        <v>15</v>
      </c>
      <c r="F46" s="10" t="s">
        <v>12</v>
      </c>
    </row>
    <row r="47" spans="1:6">
      <c r="A47" s="1"/>
      <c r="B47" s="7" t="s">
        <v>60</v>
      </c>
      <c r="C47" s="8">
        <v>2.5</v>
      </c>
      <c r="D47" s="8">
        <f t="shared" si="1"/>
        <v>3.0625</v>
      </c>
      <c r="E47" s="10">
        <v>16</v>
      </c>
      <c r="F47" s="10" t="s">
        <v>12</v>
      </c>
    </row>
    <row r="48" spans="1:6">
      <c r="A48" s="1" t="s">
        <v>61</v>
      </c>
      <c r="B48" s="7" t="s">
        <v>62</v>
      </c>
      <c r="C48" s="8">
        <v>8</v>
      </c>
      <c r="D48" s="8">
        <f t="shared" si="1"/>
        <v>9.8000000000000007</v>
      </c>
      <c r="E48" s="10">
        <v>1</v>
      </c>
      <c r="F48" s="10" t="s">
        <v>20</v>
      </c>
    </row>
    <row r="49" spans="1:6">
      <c r="A49" s="1"/>
      <c r="B49" s="7" t="s">
        <v>63</v>
      </c>
      <c r="C49" s="8">
        <v>5</v>
      </c>
      <c r="D49" s="8">
        <f t="shared" si="1"/>
        <v>6.125</v>
      </c>
      <c r="E49" s="10">
        <v>2</v>
      </c>
      <c r="F49" s="10" t="s">
        <v>10</v>
      </c>
    </row>
    <row r="50" spans="1:6">
      <c r="A50" s="1"/>
      <c r="B50" s="7" t="s">
        <v>64</v>
      </c>
      <c r="C50" s="8">
        <v>5</v>
      </c>
      <c r="D50" s="8">
        <f t="shared" si="1"/>
        <v>6.125</v>
      </c>
      <c r="E50" s="10">
        <v>3</v>
      </c>
      <c r="F50" s="10" t="s">
        <v>10</v>
      </c>
    </row>
    <row r="51" spans="1:6">
      <c r="A51" s="1"/>
      <c r="B51" s="7" t="s">
        <v>65</v>
      </c>
      <c r="C51" s="8">
        <v>4.5</v>
      </c>
      <c r="D51" s="8">
        <f t="shared" si="1"/>
        <v>5.5125000000000002</v>
      </c>
      <c r="E51" s="10">
        <v>4</v>
      </c>
      <c r="F51" s="10" t="s">
        <v>10</v>
      </c>
    </row>
    <row r="52" spans="1:6">
      <c r="A52" s="1"/>
      <c r="B52" s="7" t="s">
        <v>66</v>
      </c>
      <c r="C52" s="8">
        <v>4</v>
      </c>
      <c r="D52" s="8">
        <f t="shared" si="1"/>
        <v>4.9000000000000004</v>
      </c>
      <c r="E52" s="10">
        <v>5</v>
      </c>
      <c r="F52" s="10" t="s">
        <v>12</v>
      </c>
    </row>
    <row r="53" spans="1:6">
      <c r="A53" s="1"/>
      <c r="B53" s="11" t="s">
        <v>67</v>
      </c>
      <c r="C53" s="8">
        <v>4</v>
      </c>
      <c r="D53" s="8">
        <f t="shared" si="1"/>
        <v>4.9000000000000004</v>
      </c>
      <c r="E53" s="10">
        <v>6</v>
      </c>
      <c r="F53" s="10" t="s">
        <v>12</v>
      </c>
    </row>
    <row r="54" spans="1:6">
      <c r="A54" s="1"/>
      <c r="B54" s="7" t="s">
        <v>68</v>
      </c>
      <c r="C54" s="8">
        <v>3.5</v>
      </c>
      <c r="D54" s="8">
        <f t="shared" si="1"/>
        <v>4.2874999999999996</v>
      </c>
      <c r="E54" s="10">
        <v>7</v>
      </c>
      <c r="F54" s="10" t="s">
        <v>12</v>
      </c>
    </row>
    <row r="55" spans="1:6">
      <c r="A55" s="1"/>
      <c r="B55" s="7" t="s">
        <v>69</v>
      </c>
      <c r="C55" s="8">
        <v>3.5</v>
      </c>
      <c r="D55" s="8">
        <f t="shared" si="1"/>
        <v>4.2874999999999996</v>
      </c>
      <c r="E55" s="10">
        <v>8</v>
      </c>
      <c r="F55" s="10" t="s">
        <v>12</v>
      </c>
    </row>
    <row r="56" spans="1:6">
      <c r="A56" s="1"/>
      <c r="B56" s="7" t="s">
        <v>70</v>
      </c>
      <c r="C56" s="8">
        <v>3</v>
      </c>
      <c r="D56" s="8">
        <f t="shared" si="1"/>
        <v>3.6749999999999998</v>
      </c>
      <c r="E56" s="10">
        <v>9</v>
      </c>
      <c r="F56" s="10" t="s">
        <v>12</v>
      </c>
    </row>
    <row r="57" spans="1:6">
      <c r="A57" s="1"/>
      <c r="B57" s="7" t="s">
        <v>71</v>
      </c>
      <c r="C57" s="8">
        <v>3</v>
      </c>
      <c r="D57" s="8">
        <f t="shared" si="1"/>
        <v>3.6749999999999998</v>
      </c>
      <c r="E57" s="10">
        <v>10</v>
      </c>
      <c r="F57" s="10" t="s">
        <v>12</v>
      </c>
    </row>
    <row r="58" spans="1:6">
      <c r="A58" s="1"/>
      <c r="B58" s="7" t="s">
        <v>72</v>
      </c>
      <c r="C58" s="8">
        <v>3</v>
      </c>
      <c r="D58" s="8">
        <f t="shared" si="1"/>
        <v>3.6749999999999998</v>
      </c>
      <c r="E58" s="10">
        <v>11</v>
      </c>
      <c r="F58" s="10" t="s">
        <v>12</v>
      </c>
    </row>
    <row r="59" spans="1:6">
      <c r="A59" s="1"/>
      <c r="B59" s="7" t="s">
        <v>73</v>
      </c>
      <c r="C59" s="8">
        <v>2.5</v>
      </c>
      <c r="D59" s="8">
        <f t="shared" si="1"/>
        <v>3.0625</v>
      </c>
      <c r="E59" s="10">
        <v>12</v>
      </c>
      <c r="F59" s="10" t="s">
        <v>12</v>
      </c>
    </row>
    <row r="60" spans="1:6">
      <c r="A60" s="1"/>
      <c r="B60" s="7" t="s">
        <v>74</v>
      </c>
      <c r="C60" s="8">
        <v>2.5</v>
      </c>
      <c r="D60" s="8">
        <f t="shared" si="1"/>
        <v>3.0625</v>
      </c>
      <c r="E60" s="10">
        <v>13</v>
      </c>
      <c r="F60" s="10" t="s">
        <v>12</v>
      </c>
    </row>
    <row r="61" spans="1:6">
      <c r="A61" s="1" t="s">
        <v>75</v>
      </c>
      <c r="B61" s="7" t="s">
        <v>76</v>
      </c>
      <c r="C61" s="8">
        <v>10.5</v>
      </c>
      <c r="D61" s="8">
        <f t="shared" si="1"/>
        <v>12.862500000000001</v>
      </c>
      <c r="E61" s="10">
        <v>1</v>
      </c>
      <c r="F61" s="10" t="s">
        <v>20</v>
      </c>
    </row>
    <row r="62" spans="1:6">
      <c r="A62" s="1"/>
      <c r="B62" s="7" t="s">
        <v>77</v>
      </c>
      <c r="C62" s="8">
        <v>10</v>
      </c>
      <c r="D62" s="8">
        <f t="shared" si="1"/>
        <v>12.25</v>
      </c>
      <c r="E62" s="10">
        <v>2</v>
      </c>
      <c r="F62" s="10" t="s">
        <v>20</v>
      </c>
    </row>
    <row r="63" spans="1:6">
      <c r="A63" s="1"/>
      <c r="B63" s="7" t="s">
        <v>78</v>
      </c>
      <c r="C63" s="8">
        <v>8</v>
      </c>
      <c r="D63" s="8">
        <f t="shared" si="1"/>
        <v>9.8000000000000007</v>
      </c>
      <c r="E63" s="10">
        <v>3</v>
      </c>
      <c r="F63" s="10" t="s">
        <v>20</v>
      </c>
    </row>
    <row r="64" spans="1:6">
      <c r="A64" s="1"/>
      <c r="B64" s="7" t="s">
        <v>79</v>
      </c>
      <c r="C64" s="8">
        <v>8</v>
      </c>
      <c r="D64" s="8">
        <f t="shared" si="1"/>
        <v>9.8000000000000007</v>
      </c>
      <c r="E64" s="10">
        <v>4</v>
      </c>
      <c r="F64" s="10" t="s">
        <v>20</v>
      </c>
    </row>
    <row r="65" spans="1:6">
      <c r="A65" s="1"/>
      <c r="B65" s="7" t="s">
        <v>80</v>
      </c>
      <c r="C65" s="8">
        <v>7</v>
      </c>
      <c r="D65" s="8">
        <f t="shared" si="1"/>
        <v>8.5749999999999993</v>
      </c>
      <c r="E65" s="10">
        <v>5</v>
      </c>
      <c r="F65" s="10" t="s">
        <v>10</v>
      </c>
    </row>
    <row r="66" spans="1:6">
      <c r="A66" s="1"/>
      <c r="B66" s="7" t="s">
        <v>81</v>
      </c>
      <c r="C66" s="8">
        <v>7</v>
      </c>
      <c r="D66" s="8">
        <f t="shared" si="1"/>
        <v>8.5749999999999993</v>
      </c>
      <c r="E66" s="10">
        <v>6</v>
      </c>
      <c r="F66" s="10" t="s">
        <v>10</v>
      </c>
    </row>
    <row r="67" spans="1:6">
      <c r="A67" s="1"/>
      <c r="B67" s="7" t="s">
        <v>82</v>
      </c>
      <c r="C67" s="8">
        <v>5</v>
      </c>
      <c r="D67" s="8">
        <f t="shared" si="1"/>
        <v>6.125</v>
      </c>
      <c r="E67" s="10">
        <v>7</v>
      </c>
      <c r="F67" s="10" t="s">
        <v>10</v>
      </c>
    </row>
    <row r="68" spans="1:6">
      <c r="A68" s="1" t="s">
        <v>83</v>
      </c>
      <c r="B68" s="7" t="s">
        <v>84</v>
      </c>
      <c r="C68" s="8">
        <v>2.5</v>
      </c>
      <c r="D68" s="8">
        <f t="shared" ref="D68:D99" si="2">C68*3.5*$B$1/200</f>
        <v>3.0625</v>
      </c>
      <c r="E68" s="10">
        <v>1</v>
      </c>
      <c r="F68" s="10" t="s">
        <v>12</v>
      </c>
    </row>
    <row r="69" spans="1:6">
      <c r="A69" s="1"/>
      <c r="B69" s="7" t="s">
        <v>85</v>
      </c>
      <c r="C69" s="8">
        <v>2</v>
      </c>
      <c r="D69" s="8">
        <f t="shared" si="2"/>
        <v>2.4500000000000002</v>
      </c>
      <c r="E69" s="10">
        <v>2</v>
      </c>
      <c r="F69" s="10" t="s">
        <v>12</v>
      </c>
    </row>
    <row r="70" spans="1:6">
      <c r="A70" s="1"/>
      <c r="B70" s="7" t="s">
        <v>86</v>
      </c>
      <c r="C70" s="8">
        <v>2</v>
      </c>
      <c r="D70" s="8">
        <f t="shared" si="2"/>
        <v>2.4500000000000002</v>
      </c>
      <c r="E70" s="10">
        <v>3</v>
      </c>
      <c r="F70" s="10" t="s">
        <v>12</v>
      </c>
    </row>
    <row r="71" spans="1:6">
      <c r="A71" s="1"/>
      <c r="B71" s="7" t="s">
        <v>87</v>
      </c>
      <c r="C71" s="8">
        <v>2</v>
      </c>
      <c r="D71" s="8">
        <f t="shared" si="2"/>
        <v>2.4500000000000002</v>
      </c>
      <c r="E71" s="10">
        <v>4</v>
      </c>
      <c r="F71" s="10" t="s">
        <v>12</v>
      </c>
    </row>
    <row r="72" spans="1:6">
      <c r="A72" s="1"/>
      <c r="B72" s="7" t="s">
        <v>88</v>
      </c>
      <c r="C72" s="8">
        <v>2</v>
      </c>
      <c r="D72" s="8">
        <f t="shared" si="2"/>
        <v>2.4500000000000002</v>
      </c>
      <c r="E72" s="10">
        <v>5</v>
      </c>
      <c r="F72" s="10" t="s">
        <v>12</v>
      </c>
    </row>
    <row r="73" spans="1:6">
      <c r="A73" s="1"/>
      <c r="B73" s="7" t="s">
        <v>89</v>
      </c>
      <c r="C73" s="8">
        <v>2</v>
      </c>
      <c r="D73" s="8">
        <f t="shared" si="2"/>
        <v>2.4500000000000002</v>
      </c>
      <c r="E73" s="10">
        <v>6</v>
      </c>
      <c r="F73" s="10" t="s">
        <v>12</v>
      </c>
    </row>
    <row r="74" spans="1:6">
      <c r="A74" s="1"/>
      <c r="B74" s="7" t="s">
        <v>90</v>
      </c>
      <c r="C74" s="8">
        <v>2</v>
      </c>
      <c r="D74" s="8">
        <f t="shared" si="2"/>
        <v>2.4500000000000002</v>
      </c>
      <c r="E74" s="10">
        <v>7</v>
      </c>
      <c r="F74" s="10" t="s">
        <v>12</v>
      </c>
    </row>
    <row r="75" spans="1:6">
      <c r="A75" s="1"/>
      <c r="B75" s="7" t="s">
        <v>91</v>
      </c>
      <c r="C75" s="8">
        <v>2</v>
      </c>
      <c r="D75" s="8">
        <f t="shared" si="2"/>
        <v>2.4500000000000002</v>
      </c>
      <c r="E75" s="10">
        <v>8</v>
      </c>
      <c r="F75" s="10" t="s">
        <v>12</v>
      </c>
    </row>
    <row r="76" spans="1:6">
      <c r="A76" s="1"/>
      <c r="B76" s="7" t="s">
        <v>92</v>
      </c>
      <c r="C76" s="8">
        <v>1.5</v>
      </c>
      <c r="D76" s="8">
        <f t="shared" si="2"/>
        <v>1.8374999999999999</v>
      </c>
      <c r="E76" s="10">
        <v>9</v>
      </c>
      <c r="F76" s="10" t="s">
        <v>12</v>
      </c>
    </row>
    <row r="77" spans="1:6">
      <c r="A77" s="1" t="s">
        <v>93</v>
      </c>
      <c r="B77" s="7" t="s">
        <v>94</v>
      </c>
      <c r="C77" s="8">
        <v>8</v>
      </c>
      <c r="D77" s="8">
        <f t="shared" si="2"/>
        <v>9.8000000000000007</v>
      </c>
      <c r="E77" s="10">
        <v>1</v>
      </c>
      <c r="F77" s="10" t="s">
        <v>20</v>
      </c>
    </row>
    <row r="78" spans="1:6">
      <c r="A78" s="1"/>
      <c r="B78" s="11" t="s">
        <v>95</v>
      </c>
      <c r="C78" s="8">
        <v>4</v>
      </c>
      <c r="D78" s="8">
        <f t="shared" si="2"/>
        <v>4.9000000000000004</v>
      </c>
      <c r="E78" s="10">
        <v>2</v>
      </c>
      <c r="F78" s="10" t="s">
        <v>12</v>
      </c>
    </row>
    <row r="79" spans="1:6">
      <c r="A79" s="1"/>
      <c r="B79" s="7" t="s">
        <v>96</v>
      </c>
      <c r="C79" s="8">
        <v>3.5</v>
      </c>
      <c r="D79" s="8">
        <f t="shared" si="2"/>
        <v>4.2874999999999996</v>
      </c>
      <c r="E79" s="10">
        <v>3</v>
      </c>
      <c r="F79" s="10" t="s">
        <v>12</v>
      </c>
    </row>
    <row r="80" spans="1:6">
      <c r="A80" s="1"/>
      <c r="B80" s="7" t="s">
        <v>97</v>
      </c>
      <c r="C80" s="8">
        <v>2.5</v>
      </c>
      <c r="D80" s="8">
        <f t="shared" si="2"/>
        <v>3.0625</v>
      </c>
      <c r="E80" s="10">
        <v>4</v>
      </c>
      <c r="F80" s="10" t="s">
        <v>12</v>
      </c>
    </row>
    <row r="81" spans="1:6">
      <c r="A81" s="1"/>
      <c r="B81" s="7" t="s">
        <v>98</v>
      </c>
      <c r="C81" s="8">
        <v>2.5</v>
      </c>
      <c r="D81" s="8">
        <f t="shared" si="2"/>
        <v>3.0625</v>
      </c>
      <c r="E81" s="10">
        <v>5</v>
      </c>
      <c r="F81" s="10" t="s">
        <v>12</v>
      </c>
    </row>
    <row r="82" spans="1:6">
      <c r="A82" s="1"/>
      <c r="B82" s="7" t="s">
        <v>99</v>
      </c>
      <c r="C82" s="8">
        <v>2</v>
      </c>
      <c r="D82" s="8">
        <f t="shared" si="2"/>
        <v>2.4500000000000002</v>
      </c>
      <c r="E82" s="10">
        <v>6</v>
      </c>
      <c r="F82" s="10" t="s">
        <v>12</v>
      </c>
    </row>
    <row r="85" spans="1:6">
      <c r="A85" s="12" t="s">
        <v>100</v>
      </c>
    </row>
    <row r="86" spans="1:6">
      <c r="A86" s="13" t="s">
        <v>101</v>
      </c>
    </row>
    <row r="87" spans="1:6">
      <c r="A87" s="13" t="s">
        <v>102</v>
      </c>
    </row>
    <row r="88" spans="1:6">
      <c r="A88" s="13" t="s">
        <v>103</v>
      </c>
    </row>
  </sheetData>
  <mergeCells count="10">
    <mergeCell ref="A32:A47"/>
    <mergeCell ref="A48:A60"/>
    <mergeCell ref="A61:A67"/>
    <mergeCell ref="A68:A76"/>
    <mergeCell ref="A77:A82"/>
    <mergeCell ref="A4:A10"/>
    <mergeCell ref="A11:A18"/>
    <mergeCell ref="A19:A24"/>
    <mergeCell ref="A25:A28"/>
    <mergeCell ref="A29:A31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운동목록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Younghwan Park</cp:lastModifiedBy>
  <cp:revision>0</cp:revision>
  <dcterms:created xsi:type="dcterms:W3CDTF">2026-07-18T06:23:12Z</dcterms:created>
  <dcterms:modified xsi:type="dcterms:W3CDTF">2026-07-18T06:25:38Z</dcterms:modified>
  <dc:language>en-US</dc:language>
</cp:coreProperties>
</file>