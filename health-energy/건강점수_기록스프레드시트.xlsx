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록필요항목" sheetId="1" state="visible" r:id="rId3"/>
    <sheet name="기록입력" sheetId="2" state="visible" r:id="rId4"/>
    <sheet name="최근기록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<sst xmlns="http://schemas.openxmlformats.org/spreadsheetml/2006/main" count="227" uniqueCount="85">
  <si>
    <t xml:space="preserve">부위</t>
  </si>
  <si>
    <r>
      <rPr>
        <b val="true"/>
        <sz val="11"/>
        <color rgb="FFFFFFFF"/>
        <rFont val="Arial"/>
        <family val="0"/>
        <charset val="1"/>
      </rPr>
      <t xml:space="preserve">PAPS </t>
    </r>
    <r>
      <rPr>
        <b val="true"/>
        <sz val="11"/>
        <color rgb="FFFFFFFF"/>
        <rFont val="Noto Sans CJK SC"/>
        <family val="2"/>
      </rPr>
      <t xml:space="preserve">체력요소</t>
    </r>
  </si>
  <si>
    <t xml:space="preserve">측정 항목</t>
  </si>
  <si>
    <t xml:space="preserve">단위</t>
  </si>
  <si>
    <t xml:space="preserve">측정 방법</t>
  </si>
  <si>
    <t xml:space="preserve">권장 측정 주기</t>
  </si>
  <si>
    <t xml:space="preserve">점수 방향</t>
  </si>
  <si>
    <t xml:space="preserve">전신(심폐)</t>
  </si>
  <si>
    <t xml:space="preserve">심폐지구력</t>
  </si>
  <si>
    <t xml:space="preserve">왕복오래달리기(셔틀런)</t>
  </si>
  <si>
    <t xml:space="preserve">회</t>
  </si>
  <si>
    <t xml:space="preserve">정해진 구간을 신호음에 맞춰 왕복 달리기, 탈락까지 횟수 기록</t>
  </si>
  <si>
    <t xml:space="preserve">월 1회</t>
  </si>
  <si>
    <t xml:space="preserve">H</t>
  </si>
  <si>
    <t xml:space="preserve">오래달리기-걷기</t>
  </si>
  <si>
    <t xml:space="preserve">분:초</t>
  </si>
  <si>
    <t xml:space="preserve">일정 거리를 달리고 걸어서 완주한 시간 기록</t>
  </si>
  <si>
    <t xml:space="preserve">L</t>
  </si>
  <si>
    <t xml:space="preserve">스텝검사(PACER)</t>
  </si>
  <si>
    <t xml:space="preserve">단계</t>
  </si>
  <si>
    <t xml:space="preserve">일정 박자에 맞춰 스텝박스 오르내리며 도달 단계 기록</t>
  </si>
  <si>
    <t xml:space="preserve">하체/허리</t>
  </si>
  <si>
    <t xml:space="preserve">유연성</t>
  </si>
  <si>
    <t xml:space="preserve">앉아윗몸앞으로굽히기</t>
  </si>
  <si>
    <t xml:space="preserve">cm</t>
  </si>
  <si>
    <t xml:space="preserve">다리 뻗고 앉아 상체를 굽혀 손끝이 닿는 거리 기록</t>
  </si>
  <si>
    <t xml:space="preserve">팔/손</t>
  </si>
  <si>
    <t xml:space="preserve">근력·근지구력</t>
  </si>
  <si>
    <t xml:space="preserve">악력(좌)</t>
  </si>
  <si>
    <t xml:space="preserve">kg</t>
  </si>
  <si>
    <t xml:space="preserve">악력계로 왼손 최대 쥐는 힘 측정</t>
  </si>
  <si>
    <t xml:space="preserve">악력(우)</t>
  </si>
  <si>
    <t xml:space="preserve">악력계로 오른손 최대 쥐는 힘 측정</t>
  </si>
  <si>
    <t xml:space="preserve">상체(가슴/팔)</t>
  </si>
  <si>
    <t xml:space="preserve">팔굽혀펴기 최대횟수</t>
  </si>
  <si>
    <t xml:space="preserve">정자세로 연속 수행 가능한 최대 횟수 기록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</si>
  <si>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</si>
  <si>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코어</t>
  </si>
  <si>
    <t xml:space="preserve">윗몸말아올리기</t>
  </si>
  <si>
    <t xml:space="preserve">정해진 박자에 맞춰 연속 수행 횟수 기록</t>
  </si>
  <si>
    <t xml:space="preserve">플랭크 최대 유지시간</t>
  </si>
  <si>
    <t xml:space="preserve">초</t>
  </si>
  <si>
    <t xml:space="preserve">정자세 플랭크를 무너질 때까지 유지한 시간 기록</t>
  </si>
  <si>
    <t xml:space="preserve">하체</t>
  </si>
  <si>
    <t xml:space="preserve">순발력</t>
  </si>
  <si>
    <t xml:space="preserve">제자리 멀리뛰기</t>
  </si>
  <si>
    <t xml:space="preserve">제자리에서 최대한 멀리 뛴 거리 기록</t>
  </si>
  <si>
    <t xml:space="preserve">전신</t>
  </si>
  <si>
    <t xml:space="preserve">신체조성</t>
  </si>
  <si>
    <t xml:space="preserve">체중</t>
  </si>
  <si>
    <t xml:space="preserve">체중계로 측정</t>
  </si>
  <si>
    <t xml:space="preserve">주 1회</t>
  </si>
  <si>
    <t xml:space="preserve">-</t>
  </si>
  <si>
    <t xml:space="preserve">BMI</t>
  </si>
  <si>
    <t xml:space="preserve">kg/m²</t>
  </si>
  <si>
    <t xml:space="preserve">체중(kg)÷키(m)² 자동 계산</t>
  </si>
  <si>
    <t xml:space="preserve">체지방률</t>
  </si>
  <si>
    <t xml:space="preserve">%</t>
  </si>
  <si>
    <t xml:space="preserve">인바디 등 체성분 분석기로 측정</t>
  </si>
  <si>
    <t xml:space="preserve">허리둘레</t>
  </si>
  <si>
    <t xml:space="preserve">배꼽 높이에서 줄자로 측정</t>
  </si>
  <si>
    <t xml:space="preserve">등</t>
  </si>
  <si>
    <t xml:space="preserve">근력·근지구력(보충)</t>
  </si>
  <si>
    <t xml:space="preserve">턱걸이/친업 최대횟수</t>
  </si>
  <si>
    <t xml:space="preserve">철봉에서 연속 수행 가능한 최대 횟수 기록</t>
  </si>
  <si>
    <t xml:space="preserve">하체(보충)</t>
  </si>
  <si>
    <t xml:space="preserve">스쿼트 최대 반복횟수</t>
  </si>
  <si>
    <t xml:space="preserve">어깨(보충)</t>
  </si>
  <si>
    <t xml:space="preserve">월 핸드스탠드 유지시간</t>
  </si>
  <si>
    <t xml:space="preserve">벽 물구나무서기 자세 유지 시간 기록</t>
  </si>
  <si>
    <t xml:space="preserve">팔(보충)</t>
  </si>
  <si>
    <t xml:space="preserve">딥스 최대횟수</t>
  </si>
  <si>
    <t xml:space="preserve">의자/벤치 딥스 연속 수행 최대 횟수 기록</t>
  </si>
  <si>
    <t xml:space="preserve">※ 점수 방향: H=높을수록 좋음, L=낮을수록 좋음, -=계산용(직접 채점 안 함)</t>
  </si>
  <si>
    <t xml:space="preserve">※ 운동 시간·종목처럼 단순 표시용 항목은 제외하고, 수치 측정·기록이 필요한 체력요소만 정리했습니다.</t>
  </si>
  <si>
    <t xml:space="preserve">날짜</t>
  </si>
  <si>
    <t xml:space="preserve">측정값</t>
  </si>
  <si>
    <t xml:space="preserve">단위(자동)</t>
  </si>
  <si>
    <t xml:space="preserve">비고</t>
  </si>
  <si>
    <t xml:space="preserve">최신 측정값</t>
  </si>
  <si>
    <t xml:space="preserve">최신 측정일</t>
  </si>
  <si>
    <t xml:space="preserve">목표값(직접입력)</t>
  </si>
  <si>
    <t xml:space="preserve">달성률(%)</t>
  </si>
  <si>
    <t xml:space="preserve">※ 목표값(노란 셀)을 직접 입력하면 달성률(%)이 자동 계산됩니다.</t>
  </si>
  <si>
    <r>
      <rPr>
        <i val="true"/>
        <sz val="9"/>
        <color rgb="FF808080"/>
        <rFont val="Arial"/>
        <family val="0"/>
        <charset val="1"/>
      </rPr>
      <t xml:space="preserve">※ '</t>
    </r>
    <r>
      <rPr>
        <i val="true"/>
        <sz val="9"/>
        <color rgb="FF808080"/>
        <rFont val="Noto Sans CJK SC"/>
        <family val="2"/>
      </rPr>
      <t xml:space="preserve">기록입력</t>
    </r>
    <r>
      <rPr>
        <i val="true"/>
        <sz val="9"/>
        <color rgb="FF808080"/>
        <rFont val="Arial"/>
        <family val="0"/>
        <charset val="1"/>
      </rPr>
      <t xml:space="preserve">' </t>
    </r>
    <r>
      <rPr>
        <i val="true"/>
        <sz val="9"/>
        <color rgb="FF808080"/>
        <rFont val="Noto Sans CJK SC"/>
        <family val="2"/>
      </rPr>
      <t xml:space="preserve">시트에 새 기록을 추가하면 이 시트가 자동으로 최신값을 반영합니다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</si>
</sst>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808080"/>
      <name val="Noto Sans CJK SC"/>
      <family val="2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44"/>
    <col collapsed="false" customWidth="true" hidden="false" outlineLevel="0" max="6" min="6" style="1" width="14"/>
    <col collapsed="false" customWidth="true" hidden="false" outlineLevel="0" max="7" min="7" style="1" width="10"/>
  </cols>
  <sheetData>
    <row r="1" customFormat="false" ht="16.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customFormat="false" ht="15" hidden="false" customHeight="true" outlineLevel="0" collapsed="false">
      <c r="A3" s="4" t="s">
        <v>7</v>
      </c>
      <c r="B3" s="4" t="s">
        <v>8</v>
      </c>
      <c r="C3" s="4" t="s">
        <v>14</v>
      </c>
      <c r="D3" s="4" t="s">
        <v>15</v>
      </c>
      <c r="E3" s="4" t="s">
        <v>16</v>
      </c>
      <c r="F3" s="4" t="s">
        <v>12</v>
      </c>
      <c r="G3" s="5" t="s">
        <v>17</v>
      </c>
    </row>
    <row r="4" customFormat="false" ht="15" hidden="false" customHeight="true" outlineLevel="0" collapsed="false">
      <c r="A4" s="4" t="s">
        <v>7</v>
      </c>
      <c r="B4" s="4" t="s">
        <v>8</v>
      </c>
      <c r="C4" s="4" t="s">
        <v>18</v>
      </c>
      <c r="D4" s="4" t="s">
        <v>19</v>
      </c>
      <c r="E4" s="4" t="s">
        <v>20</v>
      </c>
      <c r="F4" s="4" t="s">
        <v>12</v>
      </c>
      <c r="G4" s="5" t="s">
        <v>13</v>
      </c>
    </row>
    <row r="5" customFormat="false" ht="15" hidden="false" customHeight="true" outlineLevel="0" collapsed="false">
      <c r="A5" s="4" t="s">
        <v>21</v>
      </c>
      <c r="B5" s="4" t="s">
        <v>22</v>
      </c>
      <c r="C5" s="4" t="s">
        <v>23</v>
      </c>
      <c r="D5" s="6" t="s">
        <v>24</v>
      </c>
      <c r="E5" s="4" t="s">
        <v>25</v>
      </c>
      <c r="F5" s="4" t="s">
        <v>12</v>
      </c>
      <c r="G5" s="5" t="s">
        <v>13</v>
      </c>
    </row>
    <row r="6" customFormat="false" ht="15" hidden="false" customHeight="true" outlineLevel="0" collapsed="false">
      <c r="A6" s="4" t="s">
        <v>26</v>
      </c>
      <c r="B6" s="4" t="s">
        <v>27</v>
      </c>
      <c r="C6" s="4" t="s">
        <v>28</v>
      </c>
      <c r="D6" s="6" t="s">
        <v>29</v>
      </c>
      <c r="E6" s="4" t="s">
        <v>30</v>
      </c>
      <c r="F6" s="4" t="s">
        <v>12</v>
      </c>
      <c r="G6" s="5" t="s">
        <v>13</v>
      </c>
    </row>
    <row r="7" customFormat="false" ht="15" hidden="false" customHeight="true" outlineLevel="0" collapsed="false">
      <c r="A7" s="4" t="s">
        <v>26</v>
      </c>
      <c r="B7" s="4" t="s">
        <v>27</v>
      </c>
      <c r="C7" s="4" t="s">
        <v>31</v>
      </c>
      <c r="D7" s="6" t="s">
        <v>29</v>
      </c>
      <c r="E7" s="4" t="s">
        <v>32</v>
      </c>
      <c r="F7" s="4" t="s">
        <v>12</v>
      </c>
      <c r="G7" s="5" t="s">
        <v>13</v>
      </c>
    </row>
    <row r="8" customFormat="false" ht="15" hidden="false" customHeight="true" outlineLevel="0" collapsed="false">
      <c r="A8" s="4" t="s">
        <v>33</v>
      </c>
      <c r="B8" s="4" t="s">
        <v>27</v>
      </c>
      <c r="C8" s="4" t="s">
        <v>34</v>
      </c>
      <c r="D8" s="4" t="s">
        <v>10</v>
      </c>
      <c r="E8" s="4" t="s">
        <v>35</v>
      </c>
      <c r="F8" s="6" t="s">
        <v>36</v>
      </c>
      <c r="G8" s="5" t="s">
        <v>13</v>
      </c>
    </row>
    <row r="9" customFormat="false" ht="15" hidden="false" customHeight="true" outlineLevel="0" collapsed="false">
      <c r="A9" s="4" t="s">
        <v>37</v>
      </c>
      <c r="B9" s="4" t="s">
        <v>27</v>
      </c>
      <c r="C9" s="4" t="s">
        <v>38</v>
      </c>
      <c r="D9" s="4" t="s">
        <v>10</v>
      </c>
      <c r="E9" s="4" t="s">
        <v>39</v>
      </c>
      <c r="F9" s="6" t="s">
        <v>36</v>
      </c>
      <c r="G9" s="5" t="s">
        <v>13</v>
      </c>
    </row>
    <row r="10" customFormat="false" ht="15" hidden="false" customHeight="true" outlineLevel="0" collapsed="false">
      <c r="A10" s="4" t="s">
        <v>37</v>
      </c>
      <c r="B10" s="4" t="s">
        <v>27</v>
      </c>
      <c r="C10" s="4" t="s">
        <v>40</v>
      </c>
      <c r="D10" s="4" t="s">
        <v>41</v>
      </c>
      <c r="E10" s="4" t="s">
        <v>42</v>
      </c>
      <c r="F10" s="6" t="s">
        <v>36</v>
      </c>
      <c r="G10" s="5" t="s">
        <v>13</v>
      </c>
    </row>
    <row r="11" customFormat="false" ht="15" hidden="false" customHeight="true" outlineLevel="0" collapsed="false">
      <c r="A11" s="4" t="s">
        <v>43</v>
      </c>
      <c r="B11" s="4" t="s">
        <v>44</v>
      </c>
      <c r="C11" s="4" t="s">
        <v>45</v>
      </c>
      <c r="D11" s="6" t="s">
        <v>24</v>
      </c>
      <c r="E11" s="4" t="s">
        <v>46</v>
      </c>
      <c r="F11" s="4" t="s">
        <v>12</v>
      </c>
      <c r="G11" s="5" t="s">
        <v>13</v>
      </c>
    </row>
    <row r="12" customFormat="false" ht="15" hidden="false" customHeight="true" outlineLevel="0" collapsed="false">
      <c r="A12" s="4" t="s">
        <v>47</v>
      </c>
      <c r="B12" s="4" t="s">
        <v>48</v>
      </c>
      <c r="C12" s="4" t="s">
        <v>49</v>
      </c>
      <c r="D12" s="6" t="s">
        <v>29</v>
      </c>
      <c r="E12" s="4" t="s">
        <v>50</v>
      </c>
      <c r="F12" s="4" t="s">
        <v>51</v>
      </c>
      <c r="G12" s="5" t="s">
        <v>52</v>
      </c>
    </row>
    <row r="13" customFormat="false" ht="15" hidden="false" customHeight="true" outlineLevel="0" collapsed="false">
      <c r="A13" s="4" t="s">
        <v>47</v>
      </c>
      <c r="B13" s="4" t="s">
        <v>48</v>
      </c>
      <c r="C13" s="6" t="s">
        <v>53</v>
      </c>
      <c r="D13" s="6" t="s">
        <v>54</v>
      </c>
      <c r="E13" s="4" t="s">
        <v>55</v>
      </c>
      <c r="F13" s="4" t="s">
        <v>51</v>
      </c>
      <c r="G13" s="5" t="s">
        <v>17</v>
      </c>
    </row>
    <row r="14" customFormat="false" ht="15" hidden="false" customHeight="true" outlineLevel="0" collapsed="false">
      <c r="A14" s="4" t="s">
        <v>47</v>
      </c>
      <c r="B14" s="4" t="s">
        <v>48</v>
      </c>
      <c r="C14" s="4" t="s">
        <v>56</v>
      </c>
      <c r="D14" s="6" t="s">
        <v>57</v>
      </c>
      <c r="E14" s="4" t="s">
        <v>58</v>
      </c>
      <c r="F14" s="4" t="s">
        <v>12</v>
      </c>
      <c r="G14" s="5" t="s">
        <v>17</v>
      </c>
    </row>
    <row r="15" customFormat="false" ht="15" hidden="false" customHeight="true" outlineLevel="0" collapsed="false">
      <c r="A15" s="4" t="s">
        <v>47</v>
      </c>
      <c r="B15" s="4" t="s">
        <v>48</v>
      </c>
      <c r="C15" s="4" t="s">
        <v>59</v>
      </c>
      <c r="D15" s="6" t="s">
        <v>24</v>
      </c>
      <c r="E15" s="4" t="s">
        <v>60</v>
      </c>
      <c r="F15" s="4" t="s">
        <v>12</v>
      </c>
      <c r="G15" s="5" t="s">
        <v>17</v>
      </c>
    </row>
    <row r="16" customFormat="false" ht="15" hidden="false" customHeight="true" outlineLevel="0" collapsed="false">
      <c r="A16" s="4" t="s">
        <v>61</v>
      </c>
      <c r="B16" s="4" t="s">
        <v>62</v>
      </c>
      <c r="C16" s="4" t="s">
        <v>63</v>
      </c>
      <c r="D16" s="4" t="s">
        <v>10</v>
      </c>
      <c r="E16" s="4" t="s">
        <v>64</v>
      </c>
      <c r="F16" s="6" t="s">
        <v>36</v>
      </c>
      <c r="G16" s="5" t="s">
        <v>13</v>
      </c>
    </row>
    <row r="17" customFormat="false" ht="15" hidden="false" customHeight="true" outlineLevel="0" collapsed="false">
      <c r="A17" s="4" t="s">
        <v>65</v>
      </c>
      <c r="B17" s="4" t="s">
        <v>62</v>
      </c>
      <c r="C17" s="4" t="s">
        <v>66</v>
      </c>
      <c r="D17" s="4" t="s">
        <v>10</v>
      </c>
      <c r="E17" s="4" t="s">
        <v>35</v>
      </c>
      <c r="F17" s="6" t="s">
        <v>36</v>
      </c>
      <c r="G17" s="5" t="s">
        <v>13</v>
      </c>
    </row>
    <row r="18" customFormat="false" ht="15" hidden="false" customHeight="true" outlineLevel="0" collapsed="false">
      <c r="A18" s="4" t="s">
        <v>67</v>
      </c>
      <c r="B18" s="4" t="s">
        <v>62</v>
      </c>
      <c r="C18" s="4" t="s">
        <v>68</v>
      </c>
      <c r="D18" s="4" t="s">
        <v>41</v>
      </c>
      <c r="E18" s="4" t="s">
        <v>69</v>
      </c>
      <c r="F18" s="6" t="s">
        <v>36</v>
      </c>
      <c r="G18" s="5" t="s">
        <v>13</v>
      </c>
    </row>
    <row r="19" customFormat="false" ht="15" hidden="false" customHeight="true" outlineLevel="0" collapsed="false">
      <c r="A19" s="4" t="s">
        <v>70</v>
      </c>
      <c r="B19" s="4" t="s">
        <v>62</v>
      </c>
      <c r="C19" s="4" t="s">
        <v>71</v>
      </c>
      <c r="D19" s="4" t="s">
        <v>10</v>
      </c>
      <c r="E19" s="4" t="s">
        <v>72</v>
      </c>
      <c r="F19" s="6" t="s">
        <v>36</v>
      </c>
      <c r="G19" s="5" t="s">
        <v>13</v>
      </c>
    </row>
    <row r="21" customFormat="false" ht="15" hidden="false" customHeight="true" outlineLevel="0" collapsed="false">
      <c r="A21" s="7" t="s">
        <v>73</v>
      </c>
    </row>
    <row r="22" customFormat="false" ht="15" hidden="false" customHeight="true" outlineLevel="0" collapsed="false">
      <c r="A22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24"/>
  </cols>
  <sheetData>
    <row r="1" customFormat="false" ht="16.5" hidden="false" customHeight="true" outlineLevel="0" collapsed="false">
      <c r="A1" s="2" t="s">
        <v>75</v>
      </c>
      <c r="B1" s="2" t="s">
        <v>0</v>
      </c>
      <c r="C1" s="2" t="s">
        <v>2</v>
      </c>
      <c r="D1" s="2" t="s">
        <v>76</v>
      </c>
      <c r="E1" s="2" t="s">
        <v>77</v>
      </c>
      <c r="F1" s="2" t="s">
        <v>78</v>
      </c>
    </row>
    <row r="2" customFormat="false" ht="15" hidden="false" customHeight="true" outlineLevel="0" collapsed="false">
      <c r="A2" s="8" t="n">
        <v>46207</v>
      </c>
      <c r="B2" s="4" t="str">
        <f aca="false">IFERROR(INDEX(기록필요항목!$A$2:$A$19,MATCH(C2,기록필요항목!$C$2:$C$19,0)),"")</f>
        <v>상체(가슴/팔)</v>
      </c>
      <c r="C2" s="4" t="s">
        <v>34</v>
      </c>
      <c r="D2" s="4" t="n">
        <v>25</v>
      </c>
      <c r="E2" s="4" t="str">
        <f aca="false">IFERROR(INDEX(기록필요항목!$D$2:$D$19,MATCH(C2,기록필요항목!$C$2:$C$19,0)),"")</f>
        <v>회</v>
      </c>
      <c r="F2" s="4"/>
    </row>
    <row r="3" customFormat="false" ht="15" hidden="false" customHeight="true" outlineLevel="0" collapsed="false">
      <c r="A3" s="8" t="n">
        <v>46207</v>
      </c>
      <c r="B3" s="4" t="str">
        <f aca="false">IFERROR(INDEX(기록필요항목!$A$2:$A$19,MATCH(C3,기록필요항목!$C$2:$C$19,0)),"")</f>
        <v>하체</v>
      </c>
      <c r="C3" s="4" t="s">
        <v>45</v>
      </c>
      <c r="D3" s="4" t="n">
        <v>190</v>
      </c>
      <c r="E3" s="4" t="str">
        <f aca="false">IFERROR(INDEX(기록필요항목!$D$2:$D$19,MATCH(C3,기록필요항목!$C$2:$C$19,0)),"")</f>
        <v>cm</v>
      </c>
      <c r="F3" s="4"/>
    </row>
    <row r="4" customFormat="false" ht="15" hidden="false" customHeight="true" outlineLevel="0" collapsed="false">
      <c r="A4" s="8" t="n">
        <v>46221</v>
      </c>
      <c r="B4" s="4" t="str">
        <f aca="false">IFERROR(INDEX(기록필요항목!$A$2:$A$19,MATCH(C4,기록필요항목!$C$2:$C$19,0)),"")</f>
        <v>상체(가슴/팔)</v>
      </c>
      <c r="C4" s="4" t="s">
        <v>34</v>
      </c>
      <c r="D4" s="4" t="n">
        <v>28</v>
      </c>
      <c r="E4" s="4" t="str">
        <f aca="false">IFERROR(INDEX(기록필요항목!$D$2:$D$19,MATCH(C4,기록필요항목!$C$2:$C$19,0)),"")</f>
        <v>회</v>
      </c>
      <c r="F4" s="4"/>
    </row>
    <row r="5" customFormat="false" ht="15" hidden="false" customHeight="true" outlineLevel="0" collapsed="false">
      <c r="A5" s="8" t="n">
        <v>46221</v>
      </c>
      <c r="B5" s="4" t="str">
        <f aca="false">IFERROR(INDEX(기록필요항목!$A$2:$A$19,MATCH(C5,기록필요항목!$C$2:$C$19,0)),"")</f>
        <v>코어</v>
      </c>
      <c r="C5" s="4" t="s">
        <v>40</v>
      </c>
      <c r="D5" s="4" t="n">
        <v>65</v>
      </c>
      <c r="E5" s="4" t="str">
        <f aca="false">IFERROR(INDEX(기록필요항목!$D$2:$D$19,MATCH(C5,기록필요항목!$C$2:$C$19,0)),"")</f>
        <v>초</v>
      </c>
      <c r="F5" s="4"/>
    </row>
    <row r="6" customFormat="false" ht="15" hidden="false" customHeight="true" outlineLevel="0" collapsed="false">
      <c r="A6" s="4"/>
      <c r="B6" s="4" t="str">
        <f aca="false">IFERROR(INDEX(기록필요항목!$A$2:$A$19,MATCH(C6,기록필요항목!$C$2:$C$19,0)),"")</f>
        <v/>
      </c>
      <c r="C6" s="4"/>
      <c r="D6" s="4"/>
      <c r="E6" s="4" t="str">
        <f aca="false">IFERROR(INDEX(기록필요항목!$D$2:$D$19,MATCH(C6,기록필요항목!$C$2:$C$19,0)),"")</f>
        <v/>
      </c>
      <c r="F6" s="4"/>
    </row>
    <row r="7" customFormat="false" ht="15" hidden="false" customHeight="true" outlineLevel="0" collapsed="false">
      <c r="A7" s="4"/>
      <c r="B7" s="4" t="str">
        <f aca="false">IFERROR(INDEX(기록필요항목!$A$2:$A$19,MATCH(C7,기록필요항목!$C$2:$C$19,0)),"")</f>
        <v/>
      </c>
      <c r="C7" s="4"/>
      <c r="D7" s="4"/>
      <c r="E7" s="4" t="str">
        <f aca="false">IFERROR(INDEX(기록필요항목!$D$2:$D$19,MATCH(C7,기록필요항목!$C$2:$C$19,0)),"")</f>
        <v/>
      </c>
      <c r="F7" s="4"/>
    </row>
    <row r="8" customFormat="false" ht="15" hidden="false" customHeight="true" outlineLevel="0" collapsed="false">
      <c r="A8" s="4"/>
      <c r="B8" s="4" t="str">
        <f aca="false">IFERROR(INDEX(기록필요항목!$A$2:$A$19,MATCH(C8,기록필요항목!$C$2:$C$19,0)),"")</f>
        <v/>
      </c>
      <c r="C8" s="4"/>
      <c r="D8" s="4"/>
      <c r="E8" s="4" t="str">
        <f aca="false">IFERROR(INDEX(기록필요항목!$D$2:$D$19,MATCH(C8,기록필요항목!$C$2:$C$19,0)),"")</f>
        <v/>
      </c>
      <c r="F8" s="4"/>
    </row>
    <row r="9" customFormat="false" ht="15" hidden="false" customHeight="true" outlineLevel="0" collapsed="false">
      <c r="A9" s="4"/>
      <c r="B9" s="4" t="str">
        <f aca="false">IFERROR(INDEX(기록필요항목!$A$2:$A$19,MATCH(C9,기록필요항목!$C$2:$C$19,0)),"")</f>
        <v/>
      </c>
      <c r="C9" s="4"/>
      <c r="D9" s="4"/>
      <c r="E9" s="4" t="str">
        <f aca="false">IFERROR(INDEX(기록필요항목!$D$2:$D$19,MATCH(C9,기록필요항목!$C$2:$C$19,0)),"")</f>
        <v/>
      </c>
      <c r="F9" s="4"/>
    </row>
    <row r="10" customFormat="false" ht="15" hidden="false" customHeight="true" outlineLevel="0" collapsed="false">
      <c r="A10" s="4"/>
      <c r="B10" s="4" t="str">
        <f aca="false">IFERROR(INDEX(기록필요항목!$A$2:$A$19,MATCH(C10,기록필요항목!$C$2:$C$19,0)),"")</f>
        <v/>
      </c>
      <c r="C10" s="4"/>
      <c r="D10" s="4"/>
      <c r="E10" s="4" t="str">
        <f aca="false">IFERROR(INDEX(기록필요항목!$D$2:$D$19,MATCH(C10,기록필요항목!$C$2:$C$19,0)),"")</f>
        <v/>
      </c>
      <c r="F10" s="4"/>
    </row>
    <row r="11" customFormat="false" ht="15" hidden="false" customHeight="true" outlineLevel="0" collapsed="false">
      <c r="A11" s="4"/>
      <c r="B11" s="4" t="str">
        <f aca="false">IFERROR(INDEX(기록필요항목!$A$2:$A$19,MATCH(C11,기록필요항목!$C$2:$C$19,0)),"")</f>
        <v/>
      </c>
      <c r="C11" s="4"/>
      <c r="D11" s="4"/>
      <c r="E11" s="4" t="str">
        <f aca="false">IFERROR(INDEX(기록필요항목!$D$2:$D$19,MATCH(C11,기록필요항목!$C$2:$C$19,0)),"")</f>
        <v/>
      </c>
      <c r="F11" s="4"/>
    </row>
    <row r="12" customFormat="false" ht="15" hidden="false" customHeight="true" outlineLevel="0" collapsed="false">
      <c r="A12" s="4"/>
      <c r="B12" s="4" t="str">
        <f aca="false">IFERROR(INDEX(기록필요항목!$A$2:$A$19,MATCH(C12,기록필요항목!$C$2:$C$19,0)),"")</f>
        <v/>
      </c>
      <c r="C12" s="4"/>
      <c r="D12" s="4"/>
      <c r="E12" s="4" t="str">
        <f aca="false">IFERROR(INDEX(기록필요항목!$D$2:$D$19,MATCH(C12,기록필요항목!$C$2:$C$19,0)),"")</f>
        <v/>
      </c>
      <c r="F12" s="4"/>
    </row>
    <row r="13" customFormat="false" ht="15" hidden="false" customHeight="true" outlineLevel="0" collapsed="false">
      <c r="A13" s="4"/>
      <c r="B13" s="4" t="str">
        <f aca="false">IFERROR(INDEX(기록필요항목!$A$2:$A$19,MATCH(C13,기록필요항목!$C$2:$C$19,0)),"")</f>
        <v/>
      </c>
      <c r="C13" s="4"/>
      <c r="D13" s="4"/>
      <c r="E13" s="4" t="str">
        <f aca="false">IFERROR(INDEX(기록필요항목!$D$2:$D$19,MATCH(C13,기록필요항목!$C$2:$C$19,0)),"")</f>
        <v/>
      </c>
      <c r="F13" s="4"/>
    </row>
    <row r="14" customFormat="false" ht="15" hidden="false" customHeight="true" outlineLevel="0" collapsed="false">
      <c r="A14" s="4"/>
      <c r="B14" s="4" t="str">
        <f aca="false">IFERROR(INDEX(기록필요항목!$A$2:$A$19,MATCH(C14,기록필요항목!$C$2:$C$19,0)),"")</f>
        <v/>
      </c>
      <c r="C14" s="4"/>
      <c r="D14" s="4"/>
      <c r="E14" s="4" t="str">
        <f aca="false">IFERROR(INDEX(기록필요항목!$D$2:$D$19,MATCH(C14,기록필요항목!$C$2:$C$19,0)),"")</f>
        <v/>
      </c>
      <c r="F14" s="4"/>
    </row>
    <row r="15" customFormat="false" ht="15" hidden="false" customHeight="true" outlineLevel="0" collapsed="false">
      <c r="A15" s="4"/>
      <c r="B15" s="4" t="str">
        <f aca="false">IFERROR(INDEX(기록필요항목!$A$2:$A$19,MATCH(C15,기록필요항목!$C$2:$C$19,0)),"")</f>
        <v/>
      </c>
      <c r="C15" s="4"/>
      <c r="D15" s="4"/>
      <c r="E15" s="4" t="str">
        <f aca="false">IFERROR(INDEX(기록필요항목!$D$2:$D$19,MATCH(C15,기록필요항목!$C$2:$C$19,0)),"")</f>
        <v/>
      </c>
      <c r="F15" s="4"/>
    </row>
    <row r="16" customFormat="false" ht="15" hidden="false" customHeight="true" outlineLevel="0" collapsed="false">
      <c r="A16" s="4"/>
      <c r="B16" s="4" t="str">
        <f aca="false">IFERROR(INDEX(기록필요항목!$A$2:$A$19,MATCH(C16,기록필요항목!$C$2:$C$19,0)),"")</f>
        <v/>
      </c>
      <c r="C16" s="4"/>
      <c r="D16" s="4"/>
      <c r="E16" s="4" t="str">
        <f aca="false">IFERROR(INDEX(기록필요항목!$D$2:$D$19,MATCH(C16,기록필요항목!$C$2:$C$19,0)),"")</f>
        <v/>
      </c>
      <c r="F16" s="4"/>
    </row>
    <row r="17" customFormat="false" ht="15" hidden="false" customHeight="true" outlineLevel="0" collapsed="false">
      <c r="A17" s="4"/>
      <c r="B17" s="4" t="str">
        <f aca="false">IFERROR(INDEX(기록필요항목!$A$2:$A$19,MATCH(C17,기록필요항목!$C$2:$C$19,0)),"")</f>
        <v/>
      </c>
      <c r="C17" s="4"/>
      <c r="D17" s="4"/>
      <c r="E17" s="4" t="str">
        <f aca="false">IFERROR(INDEX(기록필요항목!$D$2:$D$19,MATCH(C17,기록필요항목!$C$2:$C$19,0)),"")</f>
        <v/>
      </c>
      <c r="F17" s="4"/>
    </row>
    <row r="18" customFormat="false" ht="15" hidden="false" customHeight="true" outlineLevel="0" collapsed="false">
      <c r="A18" s="4"/>
      <c r="B18" s="4" t="str">
        <f aca="false">IFERROR(INDEX(기록필요항목!$A$2:$A$19,MATCH(C18,기록필요항목!$C$2:$C$19,0)),"")</f>
        <v/>
      </c>
      <c r="C18" s="4"/>
      <c r="D18" s="4"/>
      <c r="E18" s="4" t="str">
        <f aca="false">IFERROR(INDEX(기록필요항목!$D$2:$D$19,MATCH(C18,기록필요항목!$C$2:$C$19,0)),"")</f>
        <v/>
      </c>
      <c r="F18" s="4"/>
    </row>
    <row r="19" customFormat="false" ht="15" hidden="false" customHeight="true" outlineLevel="0" collapsed="false">
      <c r="A19" s="4"/>
      <c r="B19" s="4" t="str">
        <f aca="false">IFERROR(INDEX(기록필요항목!$A$2:$A$19,MATCH(C19,기록필요항목!$C$2:$C$19,0)),"")</f>
        <v/>
      </c>
      <c r="C19" s="4"/>
      <c r="D19" s="4"/>
      <c r="E19" s="4" t="str">
        <f aca="false">IFERROR(INDEX(기록필요항목!$D$2:$D$19,MATCH(C19,기록필요항목!$C$2:$C$19,0)),"")</f>
        <v/>
      </c>
      <c r="F19" s="4"/>
    </row>
    <row r="20" customFormat="false" ht="15" hidden="false" customHeight="true" outlineLevel="0" collapsed="false">
      <c r="A20" s="4"/>
      <c r="B20" s="4" t="str">
        <f aca="false">IFERROR(INDEX(기록필요항목!$A$2:$A$19,MATCH(C20,기록필요항목!$C$2:$C$19,0)),"")</f>
        <v/>
      </c>
      <c r="C20" s="4"/>
      <c r="D20" s="4"/>
      <c r="E20" s="4" t="str">
        <f aca="false">IFERROR(INDEX(기록필요항목!$D$2:$D$19,MATCH(C20,기록필요항목!$C$2:$C$19,0)),"")</f>
        <v/>
      </c>
      <c r="F20" s="4"/>
    </row>
    <row r="21" customFormat="false" ht="15" hidden="false" customHeight="true" outlineLevel="0" collapsed="false">
      <c r="A21" s="4"/>
      <c r="B21" s="4" t="str">
        <f aca="false">IFERROR(INDEX(기록필요항목!$A$2:$A$19,MATCH(C21,기록필요항목!$C$2:$C$19,0)),"")</f>
        <v/>
      </c>
      <c r="C21" s="4"/>
      <c r="D21" s="4"/>
      <c r="E21" s="4" t="str">
        <f aca="false">IFERROR(INDEX(기록필요항목!$D$2:$D$19,MATCH(C21,기록필요항목!$C$2:$C$19,0)),"")</f>
        <v/>
      </c>
      <c r="F21" s="4"/>
    </row>
    <row r="22" customFormat="false" ht="15" hidden="false" customHeight="true" outlineLevel="0" collapsed="false">
      <c r="A22" s="4"/>
      <c r="B22" s="4" t="str">
        <f aca="false">IFERROR(INDEX(기록필요항목!$A$2:$A$19,MATCH(C22,기록필요항목!$C$2:$C$19,0)),"")</f>
        <v/>
      </c>
      <c r="C22" s="4"/>
      <c r="D22" s="4"/>
      <c r="E22" s="4" t="str">
        <f aca="false">IFERROR(INDEX(기록필요항목!$D$2:$D$19,MATCH(C22,기록필요항목!$C$2:$C$19,0)),"")</f>
        <v/>
      </c>
      <c r="F22" s="4"/>
    </row>
    <row r="23" customFormat="false" ht="15" hidden="false" customHeight="true" outlineLevel="0" collapsed="false">
      <c r="A23" s="4"/>
      <c r="B23" s="4" t="str">
        <f aca="false">IFERROR(INDEX(기록필요항목!$A$2:$A$19,MATCH(C23,기록필요항목!$C$2:$C$19,0)),"")</f>
        <v/>
      </c>
      <c r="C23" s="4"/>
      <c r="D23" s="4"/>
      <c r="E23" s="4" t="str">
        <f aca="false">IFERROR(INDEX(기록필요항목!$D$2:$D$19,MATCH(C23,기록필요항목!$C$2:$C$19,0)),"")</f>
        <v/>
      </c>
      <c r="F23" s="4"/>
    </row>
    <row r="24" customFormat="false" ht="15" hidden="false" customHeight="true" outlineLevel="0" collapsed="false">
      <c r="A24" s="4"/>
      <c r="B24" s="4" t="str">
        <f aca="false">IFERROR(INDEX(기록필요항목!$A$2:$A$19,MATCH(C24,기록필요항목!$C$2:$C$19,0)),"")</f>
        <v/>
      </c>
      <c r="C24" s="4"/>
      <c r="D24" s="4"/>
      <c r="E24" s="4" t="str">
        <f aca="false">IFERROR(INDEX(기록필요항목!$D$2:$D$19,MATCH(C24,기록필요항목!$C$2:$C$19,0)),"")</f>
        <v/>
      </c>
      <c r="F24" s="4"/>
    </row>
    <row r="25" customFormat="false" ht="15" hidden="false" customHeight="true" outlineLevel="0" collapsed="false">
      <c r="A25" s="4"/>
      <c r="B25" s="4" t="str">
        <f aca="false">IFERROR(INDEX(기록필요항목!$A$2:$A$19,MATCH(C25,기록필요항목!$C$2:$C$19,0)),"")</f>
        <v/>
      </c>
      <c r="C25" s="4"/>
      <c r="D25" s="4"/>
      <c r="E25" s="4" t="str">
        <f aca="false">IFERROR(INDEX(기록필요항목!$D$2:$D$19,MATCH(C25,기록필요항목!$C$2:$C$19,0)),"")</f>
        <v/>
      </c>
      <c r="F25" s="4"/>
    </row>
    <row r="26" customFormat="false" ht="15" hidden="false" customHeight="true" outlineLevel="0" collapsed="false">
      <c r="A26" s="4"/>
      <c r="B26" s="4" t="str">
        <f aca="false">IFERROR(INDEX(기록필요항목!$A$2:$A$19,MATCH(C26,기록필요항목!$C$2:$C$19,0)),"")</f>
        <v/>
      </c>
      <c r="C26" s="4"/>
      <c r="D26" s="4"/>
      <c r="E26" s="4" t="str">
        <f aca="false">IFERROR(INDEX(기록필요항목!$D$2:$D$19,MATCH(C26,기록필요항목!$C$2:$C$19,0)),"")</f>
        <v/>
      </c>
      <c r="F26" s="4"/>
    </row>
    <row r="27" customFormat="false" ht="15" hidden="false" customHeight="true" outlineLevel="0" collapsed="false">
      <c r="A27" s="4"/>
      <c r="B27" s="4" t="str">
        <f aca="false">IFERROR(INDEX(기록필요항목!$A$2:$A$19,MATCH(C27,기록필요항목!$C$2:$C$19,0)),"")</f>
        <v/>
      </c>
      <c r="C27" s="4"/>
      <c r="D27" s="4"/>
      <c r="E27" s="4" t="str">
        <f aca="false">IFERROR(INDEX(기록필요항목!$D$2:$D$19,MATCH(C27,기록필요항목!$C$2:$C$19,0)),"")</f>
        <v/>
      </c>
      <c r="F27" s="4"/>
    </row>
    <row r="28" customFormat="false" ht="15" hidden="false" customHeight="true" outlineLevel="0" collapsed="false">
      <c r="A28" s="4"/>
      <c r="B28" s="4" t="str">
        <f aca="false">IFERROR(INDEX(기록필요항목!$A$2:$A$19,MATCH(C28,기록필요항목!$C$2:$C$19,0)),"")</f>
        <v/>
      </c>
      <c r="C28" s="4"/>
      <c r="D28" s="4"/>
      <c r="E28" s="4" t="str">
        <f aca="false">IFERROR(INDEX(기록필요항목!$D$2:$D$19,MATCH(C28,기록필요항목!$C$2:$C$19,0)),"")</f>
        <v/>
      </c>
      <c r="F28" s="4"/>
    </row>
    <row r="29" customFormat="false" ht="15" hidden="false" customHeight="true" outlineLevel="0" collapsed="false">
      <c r="A29" s="4"/>
      <c r="B29" s="4" t="str">
        <f aca="false">IFERROR(INDEX(기록필요항목!$A$2:$A$19,MATCH(C29,기록필요항목!$C$2:$C$19,0)),"")</f>
        <v/>
      </c>
      <c r="C29" s="4"/>
      <c r="D29" s="4"/>
      <c r="E29" s="4" t="str">
        <f aca="false">IFERROR(INDEX(기록필요항목!$D$2:$D$19,MATCH(C29,기록필요항목!$C$2:$C$19,0)),"")</f>
        <v/>
      </c>
      <c r="F29" s="4"/>
    </row>
    <row r="30" customFormat="false" ht="15" hidden="false" customHeight="true" outlineLevel="0" collapsed="false">
      <c r="A30" s="4"/>
      <c r="B30" s="4" t="str">
        <f aca="false">IFERROR(INDEX(기록필요항목!$A$2:$A$19,MATCH(C30,기록필요항목!$C$2:$C$19,0)),"")</f>
        <v/>
      </c>
      <c r="C30" s="4"/>
      <c r="D30" s="4"/>
      <c r="E30" s="4" t="str">
        <f aca="false">IFERROR(INDEX(기록필요항목!$D$2:$D$19,MATCH(C30,기록필요항목!$C$2:$C$19,0)),"")</f>
        <v/>
      </c>
      <c r="F30" s="4"/>
    </row>
    <row r="31" customFormat="false" ht="15" hidden="false" customHeight="true" outlineLevel="0" collapsed="false">
      <c r="A31" s="4"/>
      <c r="B31" s="4" t="str">
        <f aca="false">IFERROR(INDEX(기록필요항목!$A$2:$A$19,MATCH(C31,기록필요항목!$C$2:$C$19,0)),"")</f>
        <v/>
      </c>
      <c r="C31" s="4"/>
      <c r="D31" s="4"/>
      <c r="E31" s="4" t="str">
        <f aca="false">IFERROR(INDEX(기록필요항목!$D$2:$D$19,MATCH(C31,기록필요항목!$C$2:$C$19,0)),"")</f>
        <v/>
      </c>
      <c r="F31" s="4"/>
    </row>
    <row r="32" customFormat="false" ht="15" hidden="false" customHeight="true" outlineLevel="0" collapsed="false">
      <c r="A32" s="4"/>
      <c r="B32" s="4" t="str">
        <f aca="false">IFERROR(INDEX(기록필요항목!$A$2:$A$19,MATCH(C32,기록필요항목!$C$2:$C$19,0)),"")</f>
        <v/>
      </c>
      <c r="C32" s="4"/>
      <c r="D32" s="4"/>
      <c r="E32" s="4" t="str">
        <f aca="false">IFERROR(INDEX(기록필요항목!$D$2:$D$19,MATCH(C32,기록필요항목!$C$2:$C$19,0)),"")</f>
        <v/>
      </c>
      <c r="F32" s="4"/>
    </row>
    <row r="33" customFormat="false" ht="15" hidden="false" customHeight="true" outlineLevel="0" collapsed="false">
      <c r="A33" s="4"/>
      <c r="B33" s="4" t="str">
        <f aca="false">IFERROR(INDEX(기록필요항목!$A$2:$A$19,MATCH(C33,기록필요항목!$C$2:$C$19,0)),"")</f>
        <v/>
      </c>
      <c r="C33" s="4"/>
      <c r="D33" s="4"/>
      <c r="E33" s="4" t="str">
        <f aca="false">IFERROR(INDEX(기록필요항목!$D$2:$D$19,MATCH(C33,기록필요항목!$C$2:$C$19,0)),"")</f>
        <v/>
      </c>
      <c r="F33" s="4"/>
    </row>
    <row r="34" customFormat="false" ht="15" hidden="false" customHeight="true" outlineLevel="0" collapsed="false">
      <c r="A34" s="4"/>
      <c r="B34" s="4" t="str">
        <f aca="false">IFERROR(INDEX(기록필요항목!$A$2:$A$19,MATCH(C34,기록필요항목!$C$2:$C$19,0)),"")</f>
        <v/>
      </c>
      <c r="C34" s="4"/>
      <c r="D34" s="4"/>
      <c r="E34" s="4" t="str">
        <f aca="false">IFERROR(INDEX(기록필요항목!$D$2:$D$19,MATCH(C34,기록필요항목!$C$2:$C$19,0)),"")</f>
        <v/>
      </c>
      <c r="F34" s="4"/>
    </row>
    <row r="35" customFormat="false" ht="15" hidden="false" customHeight="true" outlineLevel="0" collapsed="false">
      <c r="A35" s="4"/>
      <c r="B35" s="4" t="str">
        <f aca="false">IFERROR(INDEX(기록필요항목!$A$2:$A$19,MATCH(C35,기록필요항목!$C$2:$C$19,0)),"")</f>
        <v/>
      </c>
      <c r="C35" s="4"/>
      <c r="D35" s="4"/>
      <c r="E35" s="4" t="str">
        <f aca="false">IFERROR(INDEX(기록필요항목!$D$2:$D$19,MATCH(C35,기록필요항목!$C$2:$C$19,0)),"")</f>
        <v/>
      </c>
      <c r="F35" s="4"/>
    </row>
    <row r="36" customFormat="false" ht="15" hidden="false" customHeight="true" outlineLevel="0" collapsed="false">
      <c r="A36" s="4"/>
      <c r="B36" s="4" t="str">
        <f aca="false">IFERROR(INDEX(기록필요항목!$A$2:$A$19,MATCH(C36,기록필요항목!$C$2:$C$19,0)),"")</f>
        <v/>
      </c>
      <c r="C36" s="4"/>
      <c r="D36" s="4"/>
      <c r="E36" s="4" t="str">
        <f aca="false">IFERROR(INDEX(기록필요항목!$D$2:$D$19,MATCH(C36,기록필요항목!$C$2:$C$19,0)),"")</f>
        <v/>
      </c>
      <c r="F36" s="4"/>
    </row>
    <row r="37" customFormat="false" ht="15" hidden="false" customHeight="true" outlineLevel="0" collapsed="false">
      <c r="A37" s="4"/>
      <c r="B37" s="4" t="str">
        <f aca="false">IFERROR(INDEX(기록필요항목!$A$2:$A$19,MATCH(C37,기록필요항목!$C$2:$C$19,0)),"")</f>
        <v/>
      </c>
      <c r="C37" s="4"/>
      <c r="D37" s="4"/>
      <c r="E37" s="4" t="str">
        <f aca="false">IFERROR(INDEX(기록필요항목!$D$2:$D$19,MATCH(C37,기록필요항목!$C$2:$C$19,0)),"")</f>
        <v/>
      </c>
      <c r="F37" s="4"/>
    </row>
    <row r="38" customFormat="false" ht="15" hidden="false" customHeight="true" outlineLevel="0" collapsed="false">
      <c r="A38" s="4"/>
      <c r="B38" s="4" t="str">
        <f aca="false">IFERROR(INDEX(기록필요항목!$A$2:$A$19,MATCH(C38,기록필요항목!$C$2:$C$19,0)),"")</f>
        <v/>
      </c>
      <c r="C38" s="4"/>
      <c r="D38" s="4"/>
      <c r="E38" s="4" t="str">
        <f aca="false">IFERROR(INDEX(기록필요항목!$D$2:$D$19,MATCH(C38,기록필요항목!$C$2:$C$19,0)),"")</f>
        <v/>
      </c>
      <c r="F38" s="4"/>
    </row>
    <row r="39" customFormat="false" ht="15" hidden="false" customHeight="true" outlineLevel="0" collapsed="false">
      <c r="A39" s="4"/>
      <c r="B39" s="4" t="str">
        <f aca="false">IFERROR(INDEX(기록필요항목!$A$2:$A$19,MATCH(C39,기록필요항목!$C$2:$C$19,0)),"")</f>
        <v/>
      </c>
      <c r="C39" s="4"/>
      <c r="D39" s="4"/>
      <c r="E39" s="4" t="str">
        <f aca="false">IFERROR(INDEX(기록필요항목!$D$2:$D$19,MATCH(C39,기록필요항목!$C$2:$C$19,0)),"")</f>
        <v/>
      </c>
      <c r="F39" s="4"/>
    </row>
    <row r="40" customFormat="false" ht="15" hidden="false" customHeight="true" outlineLevel="0" collapsed="false">
      <c r="A40" s="4"/>
      <c r="B40" s="4" t="str">
        <f aca="false">IFERROR(INDEX(기록필요항목!$A$2:$A$19,MATCH(C40,기록필요항목!$C$2:$C$19,0)),"")</f>
        <v/>
      </c>
      <c r="C40" s="4"/>
      <c r="D40" s="4"/>
      <c r="E40" s="4" t="str">
        <f aca="false">IFERROR(INDEX(기록필요항목!$D$2:$D$19,MATCH(C40,기록필요항목!$C$2:$C$19,0)),"")</f>
        <v/>
      </c>
      <c r="F40" s="4"/>
    </row>
    <row r="41" customFormat="false" ht="15" hidden="false" customHeight="true" outlineLevel="0" collapsed="false">
      <c r="A41" s="4"/>
      <c r="B41" s="4" t="str">
        <f aca="false">IFERROR(INDEX(기록필요항목!$A$2:$A$19,MATCH(C41,기록필요항목!$C$2:$C$19,0)),"")</f>
        <v/>
      </c>
      <c r="C41" s="4"/>
      <c r="D41" s="4"/>
      <c r="E41" s="4" t="str">
        <f aca="false">IFERROR(INDEX(기록필요항목!$D$2:$D$19,MATCH(C41,기록필요항목!$C$2:$C$19,0)),"")</f>
        <v/>
      </c>
      <c r="F41" s="4"/>
    </row>
    <row r="42" customFormat="false" ht="15" hidden="false" customHeight="true" outlineLevel="0" collapsed="false">
      <c r="A42" s="4"/>
      <c r="B42" s="4" t="str">
        <f aca="false">IFERROR(INDEX(기록필요항목!$A$2:$A$19,MATCH(C42,기록필요항목!$C$2:$C$19,0)),"")</f>
        <v/>
      </c>
      <c r="C42" s="4"/>
      <c r="D42" s="4"/>
      <c r="E42" s="4" t="str">
        <f aca="false">IFERROR(INDEX(기록필요항목!$D$2:$D$19,MATCH(C42,기록필요항목!$C$2:$C$19,0)),"")</f>
        <v/>
      </c>
      <c r="F42" s="4"/>
    </row>
    <row r="43" customFormat="false" ht="15" hidden="false" customHeight="true" outlineLevel="0" collapsed="false">
      <c r="A43" s="4"/>
      <c r="B43" s="4" t="str">
        <f aca="false">IFERROR(INDEX(기록필요항목!$A$2:$A$19,MATCH(C43,기록필요항목!$C$2:$C$19,0)),"")</f>
        <v/>
      </c>
      <c r="C43" s="4"/>
      <c r="D43" s="4"/>
      <c r="E43" s="4" t="str">
        <f aca="false">IFERROR(INDEX(기록필요항목!$D$2:$D$19,MATCH(C43,기록필요항목!$C$2:$C$19,0)),"")</f>
        <v/>
      </c>
      <c r="F43" s="4"/>
    </row>
    <row r="44" customFormat="false" ht="15" hidden="false" customHeight="true" outlineLevel="0" collapsed="false">
      <c r="A44" s="4"/>
      <c r="B44" s="4" t="str">
        <f aca="false">IFERROR(INDEX(기록필요항목!$A$2:$A$19,MATCH(C44,기록필요항목!$C$2:$C$19,0)),"")</f>
        <v/>
      </c>
      <c r="C44" s="4"/>
      <c r="D44" s="4"/>
      <c r="E44" s="4" t="str">
        <f aca="false">IFERROR(INDEX(기록필요항목!$D$2:$D$19,MATCH(C44,기록필요항목!$C$2:$C$19,0)),"")</f>
        <v/>
      </c>
      <c r="F44" s="4"/>
    </row>
    <row r="45" customFormat="false" ht="15" hidden="false" customHeight="true" outlineLevel="0" collapsed="false">
      <c r="A45" s="4"/>
      <c r="B45" s="4" t="str">
        <f aca="false">IFERROR(INDEX(기록필요항목!$A$2:$A$19,MATCH(C45,기록필요항목!$C$2:$C$19,0)),"")</f>
        <v/>
      </c>
      <c r="C45" s="4"/>
      <c r="D45" s="4"/>
      <c r="E45" s="4" t="str">
        <f aca="false">IFERROR(INDEX(기록필요항목!$D$2:$D$19,MATCH(C45,기록필요항목!$C$2:$C$19,0)),"")</f>
        <v/>
      </c>
      <c r="F45" s="4"/>
    </row>
    <row r="46" customFormat="false" ht="15" hidden="false" customHeight="true" outlineLevel="0" collapsed="false">
      <c r="A46" s="4"/>
      <c r="B46" s="4" t="str">
        <f aca="false">IFERROR(INDEX(기록필요항목!$A$2:$A$19,MATCH(C46,기록필요항목!$C$2:$C$19,0)),"")</f>
        <v/>
      </c>
      <c r="C46" s="4"/>
      <c r="D46" s="4"/>
      <c r="E46" s="4" t="str">
        <f aca="false">IFERROR(INDEX(기록필요항목!$D$2:$D$19,MATCH(C46,기록필요항목!$C$2:$C$19,0)),"")</f>
        <v/>
      </c>
      <c r="F46" s="4"/>
    </row>
    <row r="47" customFormat="false" ht="15" hidden="false" customHeight="true" outlineLevel="0" collapsed="false">
      <c r="A47" s="4"/>
      <c r="B47" s="4" t="str">
        <f aca="false">IFERROR(INDEX(기록필요항목!$A$2:$A$19,MATCH(C47,기록필요항목!$C$2:$C$19,0)),"")</f>
        <v/>
      </c>
      <c r="C47" s="4"/>
      <c r="D47" s="4"/>
      <c r="E47" s="4" t="str">
        <f aca="false">IFERROR(INDEX(기록필요항목!$D$2:$D$19,MATCH(C47,기록필요항목!$C$2:$C$19,0)),"")</f>
        <v/>
      </c>
      <c r="F47" s="4"/>
    </row>
    <row r="48" customFormat="false" ht="15" hidden="false" customHeight="true" outlineLevel="0" collapsed="false">
      <c r="A48" s="4"/>
      <c r="B48" s="4" t="str">
        <f aca="false">IFERROR(INDEX(기록필요항목!$A$2:$A$19,MATCH(C48,기록필요항목!$C$2:$C$19,0)),"")</f>
        <v/>
      </c>
      <c r="C48" s="4"/>
      <c r="D48" s="4"/>
      <c r="E48" s="4" t="str">
        <f aca="false">IFERROR(INDEX(기록필요항목!$D$2:$D$19,MATCH(C48,기록필요항목!$C$2:$C$19,0)),"")</f>
        <v/>
      </c>
      <c r="F48" s="4"/>
    </row>
    <row r="49" customFormat="false" ht="15" hidden="false" customHeight="true" outlineLevel="0" collapsed="false">
      <c r="A49" s="4"/>
      <c r="B49" s="4" t="str">
        <f aca="false">IFERROR(INDEX(기록필요항목!$A$2:$A$19,MATCH(C49,기록필요항목!$C$2:$C$19,0)),"")</f>
        <v/>
      </c>
      <c r="C49" s="4"/>
      <c r="D49" s="4"/>
      <c r="E49" s="4" t="str">
        <f aca="false">IFERROR(INDEX(기록필요항목!$D$2:$D$19,MATCH(C49,기록필요항목!$C$2:$C$19,0)),"")</f>
        <v/>
      </c>
      <c r="F49" s="4"/>
    </row>
    <row r="50" customFormat="false" ht="15" hidden="false" customHeight="true" outlineLevel="0" collapsed="false">
      <c r="A50" s="4"/>
      <c r="B50" s="4" t="str">
        <f aca="false">IFERROR(INDEX(기록필요항목!$A$2:$A$19,MATCH(C50,기록필요항목!$C$2:$C$19,0)),"")</f>
        <v/>
      </c>
      <c r="C50" s="4"/>
      <c r="D50" s="4"/>
      <c r="E50" s="4" t="str">
        <f aca="false">IFERROR(INDEX(기록필요항목!$D$2:$D$19,MATCH(C50,기록필요항목!$C$2:$C$19,0)),"")</f>
        <v/>
      </c>
      <c r="F50" s="4"/>
    </row>
    <row r="51" customFormat="false" ht="15" hidden="false" customHeight="true" outlineLevel="0" collapsed="false">
      <c r="A51" s="4"/>
      <c r="B51" s="4" t="str">
        <f aca="false">IFERROR(INDEX(기록필요항목!$A$2:$A$19,MATCH(C51,기록필요항목!$C$2:$C$19,0)),"")</f>
        <v/>
      </c>
      <c r="C51" s="4"/>
      <c r="D51" s="4"/>
      <c r="E51" s="4" t="str">
        <f aca="false">IFERROR(INDEX(기록필요항목!$D$2:$D$19,MATCH(C51,기록필요항목!$C$2:$C$19,0)),"")</f>
        <v/>
      </c>
      <c r="F51" s="4"/>
    </row>
    <row r="52" customFormat="false" ht="15" hidden="false" customHeight="true" outlineLevel="0" collapsed="false">
      <c r="A52" s="4"/>
      <c r="B52" s="4" t="str">
        <f aca="false">IFERROR(INDEX(기록필요항목!$A$2:$A$19,MATCH(C52,기록필요항목!$C$2:$C$19,0)),"")</f>
        <v/>
      </c>
      <c r="C52" s="4"/>
      <c r="D52" s="4"/>
      <c r="E52" s="4" t="str">
        <f aca="false">IFERROR(INDEX(기록필요항목!$D$2:$D$19,MATCH(C52,기록필요항목!$C$2:$C$19,0)),"")</f>
        <v/>
      </c>
      <c r="F52" s="4"/>
    </row>
    <row r="53" customFormat="false" ht="15" hidden="false" customHeight="true" outlineLevel="0" collapsed="false">
      <c r="A53" s="4"/>
      <c r="B53" s="4" t="str">
        <f aca="false">IFERROR(INDEX(기록필요항목!$A$2:$A$19,MATCH(C53,기록필요항목!$C$2:$C$19,0)),"")</f>
        <v/>
      </c>
      <c r="C53" s="4"/>
      <c r="D53" s="4"/>
      <c r="E53" s="4" t="str">
        <f aca="false">IFERROR(INDEX(기록필요항목!$D$2:$D$19,MATCH(C53,기록필요항목!$C$2:$C$19,0)),"")</f>
        <v/>
      </c>
      <c r="F53" s="4"/>
    </row>
    <row r="54" customFormat="false" ht="15" hidden="false" customHeight="true" outlineLevel="0" collapsed="false">
      <c r="A54" s="4"/>
      <c r="B54" s="4" t="str">
        <f aca="false">IFERROR(INDEX(기록필요항목!$A$2:$A$19,MATCH(C54,기록필요항목!$C$2:$C$19,0)),"")</f>
        <v/>
      </c>
      <c r="C54" s="4"/>
      <c r="D54" s="4"/>
      <c r="E54" s="4" t="str">
        <f aca="false">IFERROR(INDEX(기록필요항목!$D$2:$D$19,MATCH(C54,기록필요항목!$C$2:$C$19,0)),"")</f>
        <v/>
      </c>
      <c r="F54" s="4"/>
    </row>
    <row r="55" customFormat="false" ht="15" hidden="false" customHeight="true" outlineLevel="0" collapsed="false">
      <c r="A55" s="4"/>
      <c r="B55" s="4" t="str">
        <f aca="false">IFERROR(INDEX(기록필요항목!$A$2:$A$19,MATCH(C55,기록필요항목!$C$2:$C$19,0)),"")</f>
        <v/>
      </c>
      <c r="C55" s="4"/>
      <c r="D55" s="4"/>
      <c r="E55" s="4" t="str">
        <f aca="false">IFERROR(INDEX(기록필요항목!$D$2:$D$19,MATCH(C55,기록필요항목!$C$2:$C$19,0)),"")</f>
        <v/>
      </c>
      <c r="F55" s="4"/>
    </row>
    <row r="56" customFormat="false" ht="15" hidden="false" customHeight="true" outlineLevel="0" collapsed="false">
      <c r="A56" s="4"/>
      <c r="B56" s="4" t="str">
        <f aca="false">IFERROR(INDEX(기록필요항목!$A$2:$A$19,MATCH(C56,기록필요항목!$C$2:$C$19,0)),"")</f>
        <v/>
      </c>
      <c r="C56" s="4"/>
      <c r="D56" s="4"/>
      <c r="E56" s="4" t="str">
        <f aca="false">IFERROR(INDEX(기록필요항목!$D$2:$D$19,MATCH(C56,기록필요항목!$C$2:$C$19,0)),"")</f>
        <v/>
      </c>
      <c r="F56" s="4"/>
    </row>
    <row r="57" customFormat="false" ht="15" hidden="false" customHeight="true" outlineLevel="0" collapsed="false">
      <c r="A57" s="4"/>
      <c r="B57" s="4" t="str">
        <f aca="false">IFERROR(INDEX(기록필요항목!$A$2:$A$19,MATCH(C57,기록필요항목!$C$2:$C$19,0)),"")</f>
        <v/>
      </c>
      <c r="C57" s="4"/>
      <c r="D57" s="4"/>
      <c r="E57" s="4" t="str">
        <f aca="false">IFERROR(INDEX(기록필요항목!$D$2:$D$19,MATCH(C57,기록필요항목!$C$2:$C$19,0)),"")</f>
        <v/>
      </c>
      <c r="F57" s="4"/>
    </row>
    <row r="58" customFormat="false" ht="15" hidden="false" customHeight="true" outlineLevel="0" collapsed="false">
      <c r="A58" s="4"/>
      <c r="B58" s="4" t="str">
        <f aca="false">IFERROR(INDEX(기록필요항목!$A$2:$A$19,MATCH(C58,기록필요항목!$C$2:$C$19,0)),"")</f>
        <v/>
      </c>
      <c r="C58" s="4"/>
      <c r="D58" s="4"/>
      <c r="E58" s="4" t="str">
        <f aca="false">IFERROR(INDEX(기록필요항목!$D$2:$D$19,MATCH(C58,기록필요항목!$C$2:$C$19,0)),"")</f>
        <v/>
      </c>
      <c r="F58" s="4"/>
    </row>
    <row r="59" customFormat="false" ht="15" hidden="false" customHeight="true" outlineLevel="0" collapsed="false">
      <c r="A59" s="4"/>
      <c r="B59" s="4" t="str">
        <f aca="false">IFERROR(INDEX(기록필요항목!$A$2:$A$19,MATCH(C59,기록필요항목!$C$2:$C$19,0)),"")</f>
        <v/>
      </c>
      <c r="C59" s="4"/>
      <c r="D59" s="4"/>
      <c r="E59" s="4" t="str">
        <f aca="false">IFERROR(INDEX(기록필요항목!$D$2:$D$19,MATCH(C59,기록필요항목!$C$2:$C$19,0)),"")</f>
        <v/>
      </c>
      <c r="F59" s="4"/>
    </row>
    <row r="60" customFormat="false" ht="15" hidden="false" customHeight="true" outlineLevel="0" collapsed="false">
      <c r="A60" s="4"/>
      <c r="B60" s="4" t="str">
        <f aca="false">IFERROR(INDEX(기록필요항목!$A$2:$A$19,MATCH(C60,기록필요항목!$C$2:$C$19,0)),"")</f>
        <v/>
      </c>
      <c r="C60" s="4"/>
      <c r="D60" s="4"/>
      <c r="E60" s="4" t="str">
        <f aca="false">IFERROR(INDEX(기록필요항목!$D$2:$D$19,MATCH(C60,기록필요항목!$C$2:$C$19,0)),"")</f>
        <v/>
      </c>
      <c r="F60" s="4"/>
    </row>
    <row r="61" customFormat="false" ht="15" hidden="false" customHeight="true" outlineLevel="0" collapsed="false">
      <c r="A61" s="4"/>
      <c r="B61" s="4" t="str">
        <f aca="false">IFERROR(INDEX(기록필요항목!$A$2:$A$19,MATCH(C61,기록필요항목!$C$2:$C$19,0)),"")</f>
        <v/>
      </c>
      <c r="C61" s="4"/>
      <c r="D61" s="4"/>
      <c r="E61" s="4" t="str">
        <f aca="false">IFERROR(INDEX(기록필요항목!$D$2:$D$19,MATCH(C61,기록필요항목!$C$2:$C$19,0)),"")</f>
        <v/>
      </c>
      <c r="F61" s="4"/>
    </row>
    <row r="62" customFormat="false" ht="15" hidden="false" customHeight="true" outlineLevel="0" collapsed="false">
      <c r="A62" s="4"/>
      <c r="B62" s="4" t="str">
        <f aca="false">IFERROR(INDEX(기록필요항목!$A$2:$A$19,MATCH(C62,기록필요항목!$C$2:$C$19,0)),"")</f>
        <v/>
      </c>
      <c r="C62" s="4"/>
      <c r="D62" s="4"/>
      <c r="E62" s="4" t="str">
        <f aca="false">IFERROR(INDEX(기록필요항목!$D$2:$D$19,MATCH(C62,기록필요항목!$C$2:$C$19,0)),"")</f>
        <v/>
      </c>
      <c r="F62" s="4"/>
    </row>
    <row r="63" customFormat="false" ht="15" hidden="false" customHeight="true" outlineLevel="0" collapsed="false">
      <c r="A63" s="4"/>
      <c r="B63" s="4" t="str">
        <f aca="false">IFERROR(INDEX(기록필요항목!$A$2:$A$19,MATCH(C63,기록필요항목!$C$2:$C$19,0)),"")</f>
        <v/>
      </c>
      <c r="C63" s="4"/>
      <c r="D63" s="4"/>
      <c r="E63" s="4" t="str">
        <f aca="false">IFERROR(INDEX(기록필요항목!$D$2:$D$19,MATCH(C63,기록필요항목!$C$2:$C$19,0)),"")</f>
        <v/>
      </c>
      <c r="F63" s="4"/>
    </row>
    <row r="64" customFormat="false" ht="15" hidden="false" customHeight="true" outlineLevel="0" collapsed="false">
      <c r="A64" s="4"/>
      <c r="B64" s="4" t="str">
        <f aca="false">IFERROR(INDEX(기록필요항목!$A$2:$A$19,MATCH(C64,기록필요항목!$C$2:$C$19,0)),"")</f>
        <v/>
      </c>
      <c r="C64" s="4"/>
      <c r="D64" s="4"/>
      <c r="E64" s="4" t="str">
        <f aca="false">IFERROR(INDEX(기록필요항목!$D$2:$D$19,MATCH(C64,기록필요항목!$C$2:$C$19,0)),"")</f>
        <v/>
      </c>
      <c r="F64" s="4"/>
    </row>
    <row r="65" customFormat="false" ht="15" hidden="false" customHeight="true" outlineLevel="0" collapsed="false">
      <c r="A65" s="4"/>
      <c r="B65" s="4" t="str">
        <f aca="false">IFERROR(INDEX(기록필요항목!$A$2:$A$19,MATCH(C65,기록필요항목!$C$2:$C$19,0)),"")</f>
        <v/>
      </c>
      <c r="C65" s="4"/>
      <c r="D65" s="4"/>
      <c r="E65" s="4" t="str">
        <f aca="false">IFERROR(INDEX(기록필요항목!$D$2:$D$19,MATCH(C65,기록필요항목!$C$2:$C$19,0)),"")</f>
        <v/>
      </c>
      <c r="F65" s="4"/>
    </row>
    <row r="66" customFormat="false" ht="15" hidden="false" customHeight="true" outlineLevel="0" collapsed="false">
      <c r="A66" s="4"/>
      <c r="B66" s="4" t="str">
        <f aca="false">IFERROR(INDEX(기록필요항목!$A$2:$A$19,MATCH(C66,기록필요항목!$C$2:$C$19,0)),"")</f>
        <v/>
      </c>
      <c r="C66" s="4"/>
      <c r="D66" s="4"/>
      <c r="E66" s="4" t="str">
        <f aca="false">IFERROR(INDEX(기록필요항목!$D$2:$D$19,MATCH(C66,기록필요항목!$C$2:$C$19,0)),"")</f>
        <v/>
      </c>
      <c r="F66" s="4"/>
    </row>
    <row r="67" customFormat="false" ht="15" hidden="false" customHeight="true" outlineLevel="0" collapsed="false">
      <c r="A67" s="4"/>
      <c r="B67" s="4" t="str">
        <f aca="false">IFERROR(INDEX(기록필요항목!$A$2:$A$19,MATCH(C67,기록필요항목!$C$2:$C$19,0)),"")</f>
        <v/>
      </c>
      <c r="C67" s="4"/>
      <c r="D67" s="4"/>
      <c r="E67" s="4" t="str">
        <f aca="false">IFERROR(INDEX(기록필요항목!$D$2:$D$19,MATCH(C67,기록필요항목!$C$2:$C$19,0)),"")</f>
        <v/>
      </c>
      <c r="F67" s="4"/>
    </row>
    <row r="68" customFormat="false" ht="15" hidden="false" customHeight="true" outlineLevel="0" collapsed="false">
      <c r="A68" s="4"/>
      <c r="B68" s="4" t="str">
        <f aca="false">IFERROR(INDEX(기록필요항목!$A$2:$A$19,MATCH(C68,기록필요항목!$C$2:$C$19,0)),"")</f>
        <v/>
      </c>
      <c r="C68" s="4"/>
      <c r="D68" s="4"/>
      <c r="E68" s="4" t="str">
        <f aca="false">IFERROR(INDEX(기록필요항목!$D$2:$D$19,MATCH(C68,기록필요항목!$C$2:$C$19,0)),"")</f>
        <v/>
      </c>
      <c r="F68" s="4"/>
    </row>
    <row r="69" customFormat="false" ht="15" hidden="false" customHeight="true" outlineLevel="0" collapsed="false">
      <c r="A69" s="4"/>
      <c r="B69" s="4" t="str">
        <f aca="false">IFERROR(INDEX(기록필요항목!$A$2:$A$19,MATCH(C69,기록필요항목!$C$2:$C$19,0)),"")</f>
        <v/>
      </c>
      <c r="C69" s="4"/>
      <c r="D69" s="4"/>
      <c r="E69" s="4" t="str">
        <f aca="false">IFERROR(INDEX(기록필요항목!$D$2:$D$19,MATCH(C69,기록필요항목!$C$2:$C$19,0)),"")</f>
        <v/>
      </c>
      <c r="F69" s="4"/>
    </row>
    <row r="70" customFormat="false" ht="15" hidden="false" customHeight="true" outlineLevel="0" collapsed="false">
      <c r="A70" s="4"/>
      <c r="B70" s="4" t="str">
        <f aca="false">IFERROR(INDEX(기록필요항목!$A$2:$A$19,MATCH(C70,기록필요항목!$C$2:$C$19,0)),"")</f>
        <v/>
      </c>
      <c r="C70" s="4"/>
      <c r="D70" s="4"/>
      <c r="E70" s="4" t="str">
        <f aca="false">IFERROR(INDEX(기록필요항목!$D$2:$D$19,MATCH(C70,기록필요항목!$C$2:$C$19,0)),"")</f>
        <v/>
      </c>
      <c r="F70" s="4"/>
    </row>
    <row r="71" customFormat="false" ht="15" hidden="false" customHeight="true" outlineLevel="0" collapsed="false">
      <c r="A71" s="4"/>
      <c r="B71" s="4" t="str">
        <f aca="false">IFERROR(INDEX(기록필요항목!$A$2:$A$19,MATCH(C71,기록필요항목!$C$2:$C$19,0)),"")</f>
        <v/>
      </c>
      <c r="C71" s="4"/>
      <c r="D71" s="4"/>
      <c r="E71" s="4" t="str">
        <f aca="false">IFERROR(INDEX(기록필요항목!$D$2:$D$19,MATCH(C71,기록필요항목!$C$2:$C$19,0)),"")</f>
        <v/>
      </c>
      <c r="F71" s="4"/>
    </row>
    <row r="72" customFormat="false" ht="15" hidden="false" customHeight="true" outlineLevel="0" collapsed="false">
      <c r="A72" s="4"/>
      <c r="B72" s="4" t="str">
        <f aca="false">IFERROR(INDEX(기록필요항목!$A$2:$A$19,MATCH(C72,기록필요항목!$C$2:$C$19,0)),"")</f>
        <v/>
      </c>
      <c r="C72" s="4"/>
      <c r="D72" s="4"/>
      <c r="E72" s="4" t="str">
        <f aca="false">IFERROR(INDEX(기록필요항목!$D$2:$D$19,MATCH(C72,기록필요항목!$C$2:$C$19,0)),"")</f>
        <v/>
      </c>
      <c r="F72" s="4"/>
    </row>
    <row r="73" customFormat="false" ht="15" hidden="false" customHeight="true" outlineLevel="0" collapsed="false">
      <c r="A73" s="4"/>
      <c r="B73" s="4" t="str">
        <f aca="false">IFERROR(INDEX(기록필요항목!$A$2:$A$19,MATCH(C73,기록필요항목!$C$2:$C$19,0)),"")</f>
        <v/>
      </c>
      <c r="C73" s="4"/>
      <c r="D73" s="4"/>
      <c r="E73" s="4" t="str">
        <f aca="false">IFERROR(INDEX(기록필요항목!$D$2:$D$19,MATCH(C73,기록필요항목!$C$2:$C$19,0)),"")</f>
        <v/>
      </c>
      <c r="F73" s="4"/>
    </row>
    <row r="74" customFormat="false" ht="15" hidden="false" customHeight="true" outlineLevel="0" collapsed="false">
      <c r="A74" s="4"/>
      <c r="B74" s="4" t="str">
        <f aca="false">IFERROR(INDEX(기록필요항목!$A$2:$A$19,MATCH(C74,기록필요항목!$C$2:$C$19,0)),"")</f>
        <v/>
      </c>
      <c r="C74" s="4"/>
      <c r="D74" s="4"/>
      <c r="E74" s="4" t="str">
        <f aca="false">IFERROR(INDEX(기록필요항목!$D$2:$D$19,MATCH(C74,기록필요항목!$C$2:$C$19,0)),"")</f>
        <v/>
      </c>
      <c r="F74" s="4"/>
    </row>
    <row r="75" customFormat="false" ht="15" hidden="false" customHeight="true" outlineLevel="0" collapsed="false">
      <c r="A75" s="4"/>
      <c r="B75" s="4" t="str">
        <f aca="false">IFERROR(INDEX(기록필요항목!$A$2:$A$19,MATCH(C75,기록필요항목!$C$2:$C$19,0)),"")</f>
        <v/>
      </c>
      <c r="C75" s="4"/>
      <c r="D75" s="4"/>
      <c r="E75" s="4" t="str">
        <f aca="false">IFERROR(INDEX(기록필요항목!$D$2:$D$19,MATCH(C75,기록필요항목!$C$2:$C$19,0)),"")</f>
        <v/>
      </c>
      <c r="F75" s="4"/>
    </row>
    <row r="76" customFormat="false" ht="15" hidden="false" customHeight="true" outlineLevel="0" collapsed="false">
      <c r="A76" s="4"/>
      <c r="B76" s="4" t="str">
        <f aca="false">IFERROR(INDEX(기록필요항목!$A$2:$A$19,MATCH(C76,기록필요항목!$C$2:$C$19,0)),"")</f>
        <v/>
      </c>
      <c r="C76" s="4"/>
      <c r="D76" s="4"/>
      <c r="E76" s="4" t="str">
        <f aca="false">IFERROR(INDEX(기록필요항목!$D$2:$D$19,MATCH(C76,기록필요항목!$C$2:$C$19,0)),"")</f>
        <v/>
      </c>
      <c r="F76" s="4"/>
    </row>
    <row r="77" customFormat="false" ht="15" hidden="false" customHeight="true" outlineLevel="0" collapsed="false">
      <c r="A77" s="4"/>
      <c r="B77" s="4" t="str">
        <f aca="false">IFERROR(INDEX(기록필요항목!$A$2:$A$19,MATCH(C77,기록필요항목!$C$2:$C$19,0)),"")</f>
        <v/>
      </c>
      <c r="C77" s="4"/>
      <c r="D77" s="4"/>
      <c r="E77" s="4" t="str">
        <f aca="false">IFERROR(INDEX(기록필요항목!$D$2:$D$19,MATCH(C77,기록필요항목!$C$2:$C$19,0)),"")</f>
        <v/>
      </c>
      <c r="F77" s="4"/>
    </row>
    <row r="78" customFormat="false" ht="15" hidden="false" customHeight="true" outlineLevel="0" collapsed="false">
      <c r="A78" s="4"/>
      <c r="B78" s="4" t="str">
        <f aca="false">IFERROR(INDEX(기록필요항목!$A$2:$A$19,MATCH(C78,기록필요항목!$C$2:$C$19,0)),"")</f>
        <v/>
      </c>
      <c r="C78" s="4"/>
      <c r="D78" s="4"/>
      <c r="E78" s="4" t="str">
        <f aca="false">IFERROR(INDEX(기록필요항목!$D$2:$D$19,MATCH(C78,기록필요항목!$C$2:$C$19,0)),"")</f>
        <v/>
      </c>
      <c r="F78" s="4"/>
    </row>
    <row r="79" customFormat="false" ht="15" hidden="false" customHeight="true" outlineLevel="0" collapsed="false">
      <c r="A79" s="4"/>
      <c r="B79" s="4" t="str">
        <f aca="false">IFERROR(INDEX(기록필요항목!$A$2:$A$19,MATCH(C79,기록필요항목!$C$2:$C$19,0)),"")</f>
        <v/>
      </c>
      <c r="C79" s="4"/>
      <c r="D79" s="4"/>
      <c r="E79" s="4" t="str">
        <f aca="false">IFERROR(INDEX(기록필요항목!$D$2:$D$19,MATCH(C79,기록필요항목!$C$2:$C$19,0)),"")</f>
        <v/>
      </c>
      <c r="F79" s="4"/>
    </row>
    <row r="80" customFormat="false" ht="15" hidden="false" customHeight="true" outlineLevel="0" collapsed="false">
      <c r="A80" s="4"/>
      <c r="B80" s="4" t="str">
        <f aca="false">IFERROR(INDEX(기록필요항목!$A$2:$A$19,MATCH(C80,기록필요항목!$C$2:$C$19,0)),"")</f>
        <v/>
      </c>
      <c r="C80" s="4"/>
      <c r="D80" s="4"/>
      <c r="E80" s="4" t="str">
        <f aca="false">IFERROR(INDEX(기록필요항목!$D$2:$D$19,MATCH(C80,기록필요항목!$C$2:$C$19,0)),"")</f>
        <v/>
      </c>
      <c r="F80" s="4"/>
    </row>
    <row r="81" customFormat="false" ht="15" hidden="false" customHeight="true" outlineLevel="0" collapsed="false">
      <c r="A81" s="4"/>
      <c r="B81" s="4" t="str">
        <f aca="false">IFERROR(INDEX(기록필요항목!$A$2:$A$19,MATCH(C81,기록필요항목!$C$2:$C$19,0)),"")</f>
        <v/>
      </c>
      <c r="C81" s="4"/>
      <c r="D81" s="4"/>
      <c r="E81" s="4" t="str">
        <f aca="false">IFERROR(INDEX(기록필요항목!$D$2:$D$19,MATCH(C81,기록필요항목!$C$2:$C$19,0)),"")</f>
        <v/>
      </c>
      <c r="F81" s="4"/>
    </row>
    <row r="82" customFormat="false" ht="15" hidden="false" customHeight="true" outlineLevel="0" collapsed="false">
      <c r="A82" s="4"/>
      <c r="B82" s="4" t="str">
        <f aca="false">IFERROR(INDEX(기록필요항목!$A$2:$A$19,MATCH(C82,기록필요항목!$C$2:$C$19,0)),"")</f>
        <v/>
      </c>
      <c r="C82" s="4"/>
      <c r="D82" s="4"/>
      <c r="E82" s="4" t="str">
        <f aca="false">IFERROR(INDEX(기록필요항목!$D$2:$D$19,MATCH(C82,기록필요항목!$C$2:$C$19,0)),"")</f>
        <v/>
      </c>
      <c r="F82" s="4"/>
    </row>
    <row r="83" customFormat="false" ht="15" hidden="false" customHeight="true" outlineLevel="0" collapsed="false">
      <c r="A83" s="4"/>
      <c r="B83" s="4" t="str">
        <f aca="false">IFERROR(INDEX(기록필요항목!$A$2:$A$19,MATCH(C83,기록필요항목!$C$2:$C$19,0)),"")</f>
        <v/>
      </c>
      <c r="C83" s="4"/>
      <c r="D83" s="4"/>
      <c r="E83" s="4" t="str">
        <f aca="false">IFERROR(INDEX(기록필요항목!$D$2:$D$19,MATCH(C83,기록필요항목!$C$2:$C$19,0)),"")</f>
        <v/>
      </c>
      <c r="F83" s="4"/>
    </row>
    <row r="84" customFormat="false" ht="15" hidden="false" customHeight="true" outlineLevel="0" collapsed="false">
      <c r="A84" s="4"/>
      <c r="B84" s="4" t="str">
        <f aca="false">IFERROR(INDEX(기록필요항목!$A$2:$A$19,MATCH(C84,기록필요항목!$C$2:$C$19,0)),"")</f>
        <v/>
      </c>
      <c r="C84" s="4"/>
      <c r="D84" s="4"/>
      <c r="E84" s="4" t="str">
        <f aca="false">IFERROR(INDEX(기록필요항목!$D$2:$D$19,MATCH(C84,기록필요항목!$C$2:$C$19,0)),"")</f>
        <v/>
      </c>
      <c r="F84" s="4"/>
    </row>
    <row r="85" customFormat="false" ht="15" hidden="false" customHeight="true" outlineLevel="0" collapsed="false">
      <c r="A85" s="4"/>
      <c r="B85" s="4" t="str">
        <f aca="false">IFERROR(INDEX(기록필요항목!$A$2:$A$19,MATCH(C85,기록필요항목!$C$2:$C$19,0)),"")</f>
        <v/>
      </c>
      <c r="C85" s="4"/>
      <c r="D85" s="4"/>
      <c r="E85" s="4" t="str">
        <f aca="false">IFERROR(INDEX(기록필요항목!$D$2:$D$19,MATCH(C85,기록필요항목!$C$2:$C$19,0)),"")</f>
        <v/>
      </c>
      <c r="F85" s="4"/>
    </row>
    <row r="86" customFormat="false" ht="15" hidden="false" customHeight="true" outlineLevel="0" collapsed="false">
      <c r="A86" s="4"/>
      <c r="B86" s="4" t="str">
        <f aca="false">IFERROR(INDEX(기록필요항목!$A$2:$A$19,MATCH(C86,기록필요항목!$C$2:$C$19,0)),"")</f>
        <v/>
      </c>
      <c r="C86" s="4"/>
      <c r="D86" s="4"/>
      <c r="E86" s="4" t="str">
        <f aca="false">IFERROR(INDEX(기록필요항목!$D$2:$D$19,MATCH(C86,기록필요항목!$C$2:$C$19,0)),"")</f>
        <v/>
      </c>
      <c r="F86" s="4"/>
    </row>
    <row r="87" customFormat="false" ht="15" hidden="false" customHeight="true" outlineLevel="0" collapsed="false">
      <c r="A87" s="4"/>
      <c r="B87" s="4" t="str">
        <f aca="false">IFERROR(INDEX(기록필요항목!$A$2:$A$19,MATCH(C87,기록필요항목!$C$2:$C$19,0)),"")</f>
        <v/>
      </c>
      <c r="C87" s="4"/>
      <c r="D87" s="4"/>
      <c r="E87" s="4" t="str">
        <f aca="false">IFERROR(INDEX(기록필요항목!$D$2:$D$19,MATCH(C87,기록필요항목!$C$2:$C$19,0)),"")</f>
        <v/>
      </c>
      <c r="F87" s="4"/>
    </row>
    <row r="88" customFormat="false" ht="15" hidden="false" customHeight="true" outlineLevel="0" collapsed="false">
      <c r="A88" s="4"/>
      <c r="B88" s="4" t="str">
        <f aca="false">IFERROR(INDEX(기록필요항목!$A$2:$A$19,MATCH(C88,기록필요항목!$C$2:$C$19,0)),"")</f>
        <v/>
      </c>
      <c r="C88" s="4"/>
      <c r="D88" s="4"/>
      <c r="E88" s="4" t="str">
        <f aca="false">IFERROR(INDEX(기록필요항목!$D$2:$D$19,MATCH(C88,기록필요항목!$C$2:$C$19,0)),"")</f>
        <v/>
      </c>
      <c r="F88" s="4"/>
    </row>
    <row r="89" customFormat="false" ht="15" hidden="false" customHeight="true" outlineLevel="0" collapsed="false">
      <c r="A89" s="4"/>
      <c r="B89" s="4" t="str">
        <f aca="false">IFERROR(INDEX(기록필요항목!$A$2:$A$19,MATCH(C89,기록필요항목!$C$2:$C$19,0)),"")</f>
        <v/>
      </c>
      <c r="C89" s="4"/>
      <c r="D89" s="4"/>
      <c r="E89" s="4" t="str">
        <f aca="false">IFERROR(INDEX(기록필요항목!$D$2:$D$19,MATCH(C89,기록필요항목!$C$2:$C$19,0)),"")</f>
        <v/>
      </c>
      <c r="F89" s="4"/>
    </row>
    <row r="90" customFormat="false" ht="15" hidden="false" customHeight="true" outlineLevel="0" collapsed="false">
      <c r="A90" s="4"/>
      <c r="B90" s="4" t="str">
        <f aca="false">IFERROR(INDEX(기록필요항목!$A$2:$A$19,MATCH(C90,기록필요항목!$C$2:$C$19,0)),"")</f>
        <v/>
      </c>
      <c r="C90" s="4"/>
      <c r="D90" s="4"/>
      <c r="E90" s="4" t="str">
        <f aca="false">IFERROR(INDEX(기록필요항목!$D$2:$D$19,MATCH(C90,기록필요항목!$C$2:$C$19,0)),"")</f>
        <v/>
      </c>
      <c r="F90" s="4"/>
    </row>
    <row r="91" customFormat="false" ht="15" hidden="false" customHeight="true" outlineLevel="0" collapsed="false">
      <c r="A91" s="4"/>
      <c r="B91" s="4" t="str">
        <f aca="false">IFERROR(INDEX(기록필요항목!$A$2:$A$19,MATCH(C91,기록필요항목!$C$2:$C$19,0)),"")</f>
        <v/>
      </c>
      <c r="C91" s="4"/>
      <c r="D91" s="4"/>
      <c r="E91" s="4" t="str">
        <f aca="false">IFERROR(INDEX(기록필요항목!$D$2:$D$19,MATCH(C91,기록필요항목!$C$2:$C$19,0)),"")</f>
        <v/>
      </c>
      <c r="F91" s="4"/>
    </row>
    <row r="92" customFormat="false" ht="15" hidden="false" customHeight="true" outlineLevel="0" collapsed="false">
      <c r="A92" s="4"/>
      <c r="B92" s="4" t="str">
        <f aca="false">IFERROR(INDEX(기록필요항목!$A$2:$A$19,MATCH(C92,기록필요항목!$C$2:$C$19,0)),"")</f>
        <v/>
      </c>
      <c r="C92" s="4"/>
      <c r="D92" s="4"/>
      <c r="E92" s="4" t="str">
        <f aca="false">IFERROR(INDEX(기록필요항목!$D$2:$D$19,MATCH(C92,기록필요항목!$C$2:$C$19,0)),"")</f>
        <v/>
      </c>
      <c r="F92" s="4"/>
    </row>
    <row r="93" customFormat="false" ht="15" hidden="false" customHeight="true" outlineLevel="0" collapsed="false">
      <c r="A93" s="4"/>
      <c r="B93" s="4" t="str">
        <f aca="false">IFERROR(INDEX(기록필요항목!$A$2:$A$19,MATCH(C93,기록필요항목!$C$2:$C$19,0)),"")</f>
        <v/>
      </c>
      <c r="C93" s="4"/>
      <c r="D93" s="4"/>
      <c r="E93" s="4" t="str">
        <f aca="false">IFERROR(INDEX(기록필요항목!$D$2:$D$19,MATCH(C93,기록필요항목!$C$2:$C$19,0)),"")</f>
        <v/>
      </c>
      <c r="F93" s="4"/>
    </row>
    <row r="94" customFormat="false" ht="15" hidden="false" customHeight="true" outlineLevel="0" collapsed="false">
      <c r="A94" s="4"/>
      <c r="B94" s="4" t="str">
        <f aca="false">IFERROR(INDEX(기록필요항목!$A$2:$A$19,MATCH(C94,기록필요항목!$C$2:$C$19,0)),"")</f>
        <v/>
      </c>
      <c r="C94" s="4"/>
      <c r="D94" s="4"/>
      <c r="E94" s="4" t="str">
        <f aca="false">IFERROR(INDEX(기록필요항목!$D$2:$D$19,MATCH(C94,기록필요항목!$C$2:$C$19,0)),"")</f>
        <v/>
      </c>
      <c r="F94" s="4"/>
    </row>
    <row r="95" customFormat="false" ht="15" hidden="false" customHeight="true" outlineLevel="0" collapsed="false">
      <c r="A95" s="4"/>
      <c r="B95" s="4" t="str">
        <f aca="false">IFERROR(INDEX(기록필요항목!$A$2:$A$19,MATCH(C95,기록필요항목!$C$2:$C$19,0)),"")</f>
        <v/>
      </c>
      <c r="C95" s="4"/>
      <c r="D95" s="4"/>
      <c r="E95" s="4" t="str">
        <f aca="false">IFERROR(INDEX(기록필요항목!$D$2:$D$19,MATCH(C95,기록필요항목!$C$2:$C$19,0)),"")</f>
        <v/>
      </c>
      <c r="F95" s="4"/>
    </row>
    <row r="96" customFormat="false" ht="15" hidden="false" customHeight="true" outlineLevel="0" collapsed="false">
      <c r="A96" s="4"/>
      <c r="B96" s="4" t="str">
        <f aca="false">IFERROR(INDEX(기록필요항목!$A$2:$A$19,MATCH(C96,기록필요항목!$C$2:$C$19,0)),"")</f>
        <v/>
      </c>
      <c r="C96" s="4"/>
      <c r="D96" s="4"/>
      <c r="E96" s="4" t="str">
        <f aca="false">IFERROR(INDEX(기록필요항목!$D$2:$D$19,MATCH(C96,기록필요항목!$C$2:$C$19,0)),"")</f>
        <v/>
      </c>
      <c r="F96" s="4"/>
    </row>
    <row r="97" customFormat="false" ht="15" hidden="false" customHeight="true" outlineLevel="0" collapsed="false">
      <c r="A97" s="4"/>
      <c r="B97" s="4" t="str">
        <f aca="false">IFERROR(INDEX(기록필요항목!$A$2:$A$19,MATCH(C97,기록필요항목!$C$2:$C$19,0)),"")</f>
        <v/>
      </c>
      <c r="C97" s="4"/>
      <c r="D97" s="4"/>
      <c r="E97" s="4" t="str">
        <f aca="false">IFERROR(INDEX(기록필요항목!$D$2:$D$19,MATCH(C97,기록필요항목!$C$2:$C$19,0)),"")</f>
        <v/>
      </c>
      <c r="F97" s="4"/>
    </row>
    <row r="98" customFormat="false" ht="15" hidden="false" customHeight="true" outlineLevel="0" collapsed="false">
      <c r="A98" s="4"/>
      <c r="B98" s="4" t="str">
        <f aca="false">IFERROR(INDEX(기록필요항목!$A$2:$A$19,MATCH(C98,기록필요항목!$C$2:$C$19,0)),"")</f>
        <v/>
      </c>
      <c r="C98" s="4"/>
      <c r="D98" s="4"/>
      <c r="E98" s="4" t="str">
        <f aca="false">IFERROR(INDEX(기록필요항목!$D$2:$D$19,MATCH(C98,기록필요항목!$C$2:$C$19,0)),"")</f>
        <v/>
      </c>
      <c r="F98" s="4"/>
    </row>
    <row r="99" customFormat="false" ht="15" hidden="false" customHeight="true" outlineLevel="0" collapsed="false">
      <c r="A99" s="4"/>
      <c r="B99" s="4" t="str">
        <f aca="false">IFERROR(INDEX(기록필요항목!$A$2:$A$19,MATCH(C99,기록필요항목!$C$2:$C$19,0)),"")</f>
        <v/>
      </c>
      <c r="C99" s="4"/>
      <c r="D99" s="4"/>
      <c r="E99" s="4" t="str">
        <f aca="false">IFERROR(INDEX(기록필요항목!$D$2:$D$19,MATCH(C99,기록필요항목!$C$2:$C$19,0)),"")</f>
        <v/>
      </c>
      <c r="F99" s="4"/>
    </row>
    <row r="100" customFormat="false" ht="15" hidden="false" customHeight="true" outlineLevel="0" collapsed="false">
      <c r="A100" s="4"/>
      <c r="B100" s="4" t="str">
        <f aca="false">IFERROR(INDEX(기록필요항목!$A$2:$A$19,MATCH(C100,기록필요항목!$C$2:$C$19,0)),"")</f>
        <v/>
      </c>
      <c r="C100" s="4"/>
      <c r="D100" s="4"/>
      <c r="E100" s="4" t="str">
        <f aca="false">IFERROR(INDEX(기록필요항목!$D$2:$D$19,MATCH(C100,기록필요항목!$C$2:$C$19,0)),"")</f>
        <v/>
      </c>
      <c r="F100" s="4"/>
    </row>
    <row r="101" customFormat="false" ht="15" hidden="false" customHeight="true" outlineLevel="0" collapsed="false">
      <c r="A101" s="4"/>
      <c r="B101" s="4" t="str">
        <f aca="false">IFERROR(INDEX(기록필요항목!$A$2:$A$19,MATCH(C101,기록필요항목!$C$2:$C$19,0)),"")</f>
        <v/>
      </c>
      <c r="C101" s="4"/>
      <c r="D101" s="4"/>
      <c r="E101" s="4" t="str">
        <f aca="false">IFERROR(INDEX(기록필요항목!$D$2:$D$19,MATCH(C101,기록필요항목!$C$2:$C$19,0)),"")</f>
        <v/>
      </c>
      <c r="F101" s="4"/>
    </row>
    <row r="102" customFormat="false" ht="15" hidden="false" customHeight="true" outlineLevel="0" collapsed="false">
      <c r="A102" s="4"/>
      <c r="B102" s="4" t="str">
        <f aca="false">IFERROR(INDEX(기록필요항목!$A$2:$A$19,MATCH(C102,기록필요항목!$C$2:$C$19,0)),"")</f>
        <v/>
      </c>
      <c r="C102" s="4"/>
      <c r="D102" s="4"/>
      <c r="E102" s="4" t="str">
        <f aca="false">IFERROR(INDEX(기록필요항목!$D$2:$D$19,MATCH(C102,기록필요항목!$C$2:$C$19,0)),"")</f>
        <v/>
      </c>
      <c r="F102" s="4"/>
    </row>
    <row r="103" customFormat="false" ht="15" hidden="false" customHeight="true" outlineLevel="0" collapsed="false">
      <c r="A103" s="4"/>
      <c r="B103" s="4" t="str">
        <f aca="false">IFERROR(INDEX(기록필요항목!$A$2:$A$19,MATCH(C103,기록필요항목!$C$2:$C$19,0)),"")</f>
        <v/>
      </c>
      <c r="C103" s="4"/>
      <c r="D103" s="4"/>
      <c r="E103" s="4" t="str">
        <f aca="false">IFERROR(INDEX(기록필요항목!$D$2:$D$19,MATCH(C103,기록필요항목!$C$2:$C$19,0)),"")</f>
        <v/>
      </c>
      <c r="F103" s="4"/>
    </row>
    <row r="104" customFormat="false" ht="15" hidden="false" customHeight="true" outlineLevel="0" collapsed="false">
      <c r="A104" s="4"/>
      <c r="B104" s="4" t="str">
        <f aca="false">IFERROR(INDEX(기록필요항목!$A$2:$A$19,MATCH(C104,기록필요항목!$C$2:$C$19,0)),"")</f>
        <v/>
      </c>
      <c r="C104" s="4"/>
      <c r="D104" s="4"/>
      <c r="E104" s="4" t="str">
        <f aca="false">IFERROR(INDEX(기록필요항목!$D$2:$D$19,MATCH(C104,기록필요항목!$C$2:$C$19,0)),"")</f>
        <v/>
      </c>
      <c r="F104" s="4"/>
    </row>
    <row r="105" customFormat="false" ht="15" hidden="false" customHeight="true" outlineLevel="0" collapsed="false">
      <c r="A105" s="4"/>
      <c r="B105" s="4" t="str">
        <f aca="false">IFERROR(INDEX(기록필요항목!$A$2:$A$19,MATCH(C105,기록필요항목!$C$2:$C$19,0)),"")</f>
        <v/>
      </c>
      <c r="C105" s="4"/>
      <c r="D105" s="4"/>
      <c r="E105" s="4" t="str">
        <f aca="false">IFERROR(INDEX(기록필요항목!$D$2:$D$19,MATCH(C105,기록필요항목!$C$2:$C$19,0)),"")</f>
        <v/>
      </c>
      <c r="F105" s="4"/>
    </row>
    <row r="106" customFormat="false" ht="15" hidden="false" customHeight="true" outlineLevel="0" collapsed="false">
      <c r="A106" s="4"/>
      <c r="B106" s="4" t="str">
        <f aca="false">IFERROR(INDEX(기록필요항목!$A$2:$A$19,MATCH(C106,기록필요항목!$C$2:$C$19,0)),"")</f>
        <v/>
      </c>
      <c r="C106" s="4"/>
      <c r="D106" s="4"/>
      <c r="E106" s="4" t="str">
        <f aca="false">IFERROR(INDEX(기록필요항목!$D$2:$D$19,MATCH(C106,기록필요항목!$C$2:$C$19,0)),"")</f>
        <v/>
      </c>
      <c r="F106" s="4"/>
    </row>
    <row r="107" customFormat="false" ht="15" hidden="false" customHeight="true" outlineLevel="0" collapsed="false">
      <c r="A107" s="4"/>
      <c r="B107" s="4" t="str">
        <f aca="false">IFERROR(INDEX(기록필요항목!$A$2:$A$19,MATCH(C107,기록필요항목!$C$2:$C$19,0)),"")</f>
        <v/>
      </c>
      <c r="C107" s="4"/>
      <c r="D107" s="4"/>
      <c r="E107" s="4" t="str">
        <f aca="false">IFERROR(INDEX(기록필요항목!$D$2:$D$19,MATCH(C107,기록필요항목!$C$2:$C$19,0)),"")</f>
        <v/>
      </c>
      <c r="F107" s="4"/>
    </row>
    <row r="108" customFormat="false" ht="15" hidden="false" customHeight="true" outlineLevel="0" collapsed="false">
      <c r="A108" s="4"/>
      <c r="B108" s="4" t="str">
        <f aca="false">IFERROR(INDEX(기록필요항목!$A$2:$A$19,MATCH(C108,기록필요항목!$C$2:$C$19,0)),"")</f>
        <v/>
      </c>
      <c r="C108" s="4"/>
      <c r="D108" s="4"/>
      <c r="E108" s="4" t="str">
        <f aca="false">IFERROR(INDEX(기록필요항목!$D$2:$D$19,MATCH(C108,기록필요항목!$C$2:$C$19,0)),"")</f>
        <v/>
      </c>
      <c r="F108" s="4"/>
    </row>
    <row r="109" customFormat="false" ht="15" hidden="false" customHeight="true" outlineLevel="0" collapsed="false">
      <c r="A109" s="4"/>
      <c r="B109" s="4" t="str">
        <f aca="false">IFERROR(INDEX(기록필요항목!$A$2:$A$19,MATCH(C109,기록필요항목!$C$2:$C$19,0)),"")</f>
        <v/>
      </c>
      <c r="C109" s="4"/>
      <c r="D109" s="4"/>
      <c r="E109" s="4" t="str">
        <f aca="false">IFERROR(INDEX(기록필요항목!$D$2:$D$19,MATCH(C109,기록필요항목!$C$2:$C$19,0)),"")</f>
        <v/>
      </c>
      <c r="F109" s="4"/>
    </row>
    <row r="110" customFormat="false" ht="15" hidden="false" customHeight="true" outlineLevel="0" collapsed="false">
      <c r="A110" s="4"/>
      <c r="B110" s="4" t="str">
        <f aca="false">IFERROR(INDEX(기록필요항목!$A$2:$A$19,MATCH(C110,기록필요항목!$C$2:$C$19,0)),"")</f>
        <v/>
      </c>
      <c r="C110" s="4"/>
      <c r="D110" s="4"/>
      <c r="E110" s="4" t="str">
        <f aca="false">IFERROR(INDEX(기록필요항목!$D$2:$D$19,MATCH(C110,기록필요항목!$C$2:$C$19,0)),"")</f>
        <v/>
      </c>
      <c r="F110" s="4"/>
    </row>
    <row r="111" customFormat="false" ht="15" hidden="false" customHeight="true" outlineLevel="0" collapsed="false">
      <c r="A111" s="4"/>
      <c r="B111" s="4" t="str">
        <f aca="false">IFERROR(INDEX(기록필요항목!$A$2:$A$19,MATCH(C111,기록필요항목!$C$2:$C$19,0)),"")</f>
        <v/>
      </c>
      <c r="C111" s="4"/>
      <c r="D111" s="4"/>
      <c r="E111" s="4" t="str">
        <f aca="false">IFERROR(INDEX(기록필요항목!$D$2:$D$19,MATCH(C111,기록필요항목!$C$2:$C$19,0)),"")</f>
        <v/>
      </c>
      <c r="F111" s="4"/>
    </row>
    <row r="112" customFormat="false" ht="15" hidden="false" customHeight="true" outlineLevel="0" collapsed="false">
      <c r="A112" s="4"/>
      <c r="B112" s="4" t="str">
        <f aca="false">IFERROR(INDEX(기록필요항목!$A$2:$A$19,MATCH(C112,기록필요항목!$C$2:$C$19,0)),"")</f>
        <v/>
      </c>
      <c r="C112" s="4"/>
      <c r="D112" s="4"/>
      <c r="E112" s="4" t="str">
        <f aca="false">IFERROR(INDEX(기록필요항목!$D$2:$D$19,MATCH(C112,기록필요항목!$C$2:$C$19,0)),"")</f>
        <v/>
      </c>
      <c r="F112" s="4"/>
    </row>
    <row r="113" customFormat="false" ht="15" hidden="false" customHeight="true" outlineLevel="0" collapsed="false">
      <c r="A113" s="4"/>
      <c r="B113" s="4" t="str">
        <f aca="false">IFERROR(INDEX(기록필요항목!$A$2:$A$19,MATCH(C113,기록필요항목!$C$2:$C$19,0)),"")</f>
        <v/>
      </c>
      <c r="C113" s="4"/>
      <c r="D113" s="4"/>
      <c r="E113" s="4" t="str">
        <f aca="false">IFERROR(INDEX(기록필요항목!$D$2:$D$19,MATCH(C113,기록필요항목!$C$2:$C$19,0)),"")</f>
        <v/>
      </c>
      <c r="F113" s="4"/>
    </row>
    <row r="114" customFormat="false" ht="15" hidden="false" customHeight="true" outlineLevel="0" collapsed="false">
      <c r="A114" s="4"/>
      <c r="B114" s="4" t="str">
        <f aca="false">IFERROR(INDEX(기록필요항목!$A$2:$A$19,MATCH(C114,기록필요항목!$C$2:$C$19,0)),"")</f>
        <v/>
      </c>
      <c r="C114" s="4"/>
      <c r="D114" s="4"/>
      <c r="E114" s="4" t="str">
        <f aca="false">IFERROR(INDEX(기록필요항목!$D$2:$D$19,MATCH(C114,기록필요항목!$C$2:$C$19,0)),"")</f>
        <v/>
      </c>
      <c r="F114" s="4"/>
    </row>
    <row r="115" customFormat="false" ht="15" hidden="false" customHeight="true" outlineLevel="0" collapsed="false">
      <c r="A115" s="4"/>
      <c r="B115" s="4" t="str">
        <f aca="false">IFERROR(INDEX(기록필요항목!$A$2:$A$19,MATCH(C115,기록필요항목!$C$2:$C$19,0)),"")</f>
        <v/>
      </c>
      <c r="C115" s="4"/>
      <c r="D115" s="4"/>
      <c r="E115" s="4" t="str">
        <f aca="false">IFERROR(INDEX(기록필요항목!$D$2:$D$19,MATCH(C115,기록필요항목!$C$2:$C$19,0)),"")</f>
        <v/>
      </c>
      <c r="F115" s="4"/>
    </row>
    <row r="116" customFormat="false" ht="15" hidden="false" customHeight="true" outlineLevel="0" collapsed="false">
      <c r="A116" s="4"/>
      <c r="B116" s="4" t="str">
        <f aca="false">IFERROR(INDEX(기록필요항목!$A$2:$A$19,MATCH(C116,기록필요항목!$C$2:$C$19,0)),"")</f>
        <v/>
      </c>
      <c r="C116" s="4"/>
      <c r="D116" s="4"/>
      <c r="E116" s="4" t="str">
        <f aca="false">IFERROR(INDEX(기록필요항목!$D$2:$D$19,MATCH(C116,기록필요항목!$C$2:$C$19,0)),"")</f>
        <v/>
      </c>
      <c r="F116" s="4"/>
    </row>
    <row r="117" customFormat="false" ht="15" hidden="false" customHeight="true" outlineLevel="0" collapsed="false">
      <c r="A117" s="4"/>
      <c r="B117" s="4" t="str">
        <f aca="false">IFERROR(INDEX(기록필요항목!$A$2:$A$19,MATCH(C117,기록필요항목!$C$2:$C$19,0)),"")</f>
        <v/>
      </c>
      <c r="C117" s="4"/>
      <c r="D117" s="4"/>
      <c r="E117" s="4" t="str">
        <f aca="false">IFERROR(INDEX(기록필요항목!$D$2:$D$19,MATCH(C117,기록필요항목!$C$2:$C$19,0)),"")</f>
        <v/>
      </c>
      <c r="F117" s="4"/>
    </row>
    <row r="118" customFormat="false" ht="15" hidden="false" customHeight="true" outlineLevel="0" collapsed="false">
      <c r="A118" s="4"/>
      <c r="B118" s="4" t="str">
        <f aca="false">IFERROR(INDEX(기록필요항목!$A$2:$A$19,MATCH(C118,기록필요항목!$C$2:$C$19,0)),"")</f>
        <v/>
      </c>
      <c r="C118" s="4"/>
      <c r="D118" s="4"/>
      <c r="E118" s="4" t="str">
        <f aca="false">IFERROR(INDEX(기록필요항목!$D$2:$D$19,MATCH(C118,기록필요항목!$C$2:$C$19,0)),"")</f>
        <v/>
      </c>
      <c r="F118" s="4"/>
    </row>
    <row r="119" customFormat="false" ht="15" hidden="false" customHeight="true" outlineLevel="0" collapsed="false">
      <c r="A119" s="4"/>
      <c r="B119" s="4" t="str">
        <f aca="false">IFERROR(INDEX(기록필요항목!$A$2:$A$19,MATCH(C119,기록필요항목!$C$2:$C$19,0)),"")</f>
        <v/>
      </c>
      <c r="C119" s="4"/>
      <c r="D119" s="4"/>
      <c r="E119" s="4" t="str">
        <f aca="false">IFERROR(INDEX(기록필요항목!$D$2:$D$19,MATCH(C119,기록필요항목!$C$2:$C$19,0)),"")</f>
        <v/>
      </c>
      <c r="F119" s="4"/>
    </row>
    <row r="120" customFormat="false" ht="15" hidden="false" customHeight="true" outlineLevel="0" collapsed="false">
      <c r="A120" s="4"/>
      <c r="B120" s="4" t="str">
        <f aca="false">IFERROR(INDEX(기록필요항목!$A$2:$A$19,MATCH(C120,기록필요항목!$C$2:$C$19,0)),"")</f>
        <v/>
      </c>
      <c r="C120" s="4"/>
      <c r="D120" s="4"/>
      <c r="E120" s="4" t="str">
        <f aca="false">IFERROR(INDEX(기록필요항목!$D$2:$D$19,MATCH(C120,기록필요항목!$C$2:$C$19,0)),"")</f>
        <v/>
      </c>
      <c r="F120" s="4"/>
    </row>
    <row r="121" customFormat="false" ht="15" hidden="false" customHeight="true" outlineLevel="0" collapsed="false">
      <c r="A121" s="4"/>
      <c r="B121" s="4" t="str">
        <f aca="false">IFERROR(INDEX(기록필요항목!$A$2:$A$19,MATCH(C121,기록필요항목!$C$2:$C$19,0)),"")</f>
        <v/>
      </c>
      <c r="C121" s="4"/>
      <c r="D121" s="4"/>
      <c r="E121" s="4" t="str">
        <f aca="false">IFERROR(INDEX(기록필요항목!$D$2:$D$19,MATCH(C121,기록필요항목!$C$2:$C$19,0)),"")</f>
        <v/>
      </c>
      <c r="F121" s="4"/>
    </row>
    <row r="122" customFormat="false" ht="15" hidden="false" customHeight="true" outlineLevel="0" collapsed="false">
      <c r="A122" s="4"/>
      <c r="B122" s="4" t="str">
        <f aca="false">IFERROR(INDEX(기록필요항목!$A$2:$A$19,MATCH(C122,기록필요항목!$C$2:$C$19,0)),"")</f>
        <v/>
      </c>
      <c r="C122" s="4"/>
      <c r="D122" s="4"/>
      <c r="E122" s="4" t="str">
        <f aca="false">IFERROR(INDEX(기록필요항목!$D$2:$D$19,MATCH(C122,기록필요항목!$C$2:$C$19,0)),"")</f>
        <v/>
      </c>
      <c r="F122" s="4"/>
    </row>
    <row r="123" customFormat="false" ht="15" hidden="false" customHeight="true" outlineLevel="0" collapsed="false">
      <c r="A123" s="4"/>
      <c r="B123" s="4" t="str">
        <f aca="false">IFERROR(INDEX(기록필요항목!$A$2:$A$19,MATCH(C123,기록필요항목!$C$2:$C$19,0)),"")</f>
        <v/>
      </c>
      <c r="C123" s="4"/>
      <c r="D123" s="4"/>
      <c r="E123" s="4" t="str">
        <f aca="false">IFERROR(INDEX(기록필요항목!$D$2:$D$19,MATCH(C123,기록필요항목!$C$2:$C$19,0)),"")</f>
        <v/>
      </c>
      <c r="F123" s="4"/>
    </row>
    <row r="124" customFormat="false" ht="15" hidden="false" customHeight="true" outlineLevel="0" collapsed="false">
      <c r="A124" s="4"/>
      <c r="B124" s="4" t="str">
        <f aca="false">IFERROR(INDEX(기록필요항목!$A$2:$A$19,MATCH(C124,기록필요항목!$C$2:$C$19,0)),"")</f>
        <v/>
      </c>
      <c r="C124" s="4"/>
      <c r="D124" s="4"/>
      <c r="E124" s="4" t="str">
        <f aca="false">IFERROR(INDEX(기록필요항목!$D$2:$D$19,MATCH(C124,기록필요항목!$C$2:$C$19,0)),"")</f>
        <v/>
      </c>
      <c r="F124" s="4"/>
    </row>
    <row r="125" customFormat="false" ht="15" hidden="false" customHeight="true" outlineLevel="0" collapsed="false">
      <c r="A125" s="4"/>
      <c r="B125" s="4" t="str">
        <f aca="false">IFERROR(INDEX(기록필요항목!$A$2:$A$19,MATCH(C125,기록필요항목!$C$2:$C$19,0)),"")</f>
        <v/>
      </c>
      <c r="C125" s="4"/>
      <c r="D125" s="4"/>
      <c r="E125" s="4" t="str">
        <f aca="false">IFERROR(INDEX(기록필요항목!$D$2:$D$19,MATCH(C125,기록필요항목!$C$2:$C$19,0)),"")</f>
        <v/>
      </c>
      <c r="F125" s="4"/>
    </row>
    <row r="126" customFormat="false" ht="15" hidden="false" customHeight="true" outlineLevel="0" collapsed="false">
      <c r="A126" s="4"/>
      <c r="B126" s="4" t="str">
        <f aca="false">IFERROR(INDEX(기록필요항목!$A$2:$A$19,MATCH(C126,기록필요항목!$C$2:$C$19,0)),"")</f>
        <v/>
      </c>
      <c r="C126" s="4"/>
      <c r="D126" s="4"/>
      <c r="E126" s="4" t="str">
        <f aca="false">IFERROR(INDEX(기록필요항목!$D$2:$D$19,MATCH(C126,기록필요항목!$C$2:$C$19,0)),"")</f>
        <v/>
      </c>
      <c r="F126" s="4"/>
    </row>
    <row r="127" customFormat="false" ht="15" hidden="false" customHeight="true" outlineLevel="0" collapsed="false">
      <c r="A127" s="4"/>
      <c r="B127" s="4" t="str">
        <f aca="false">IFERROR(INDEX(기록필요항목!$A$2:$A$19,MATCH(C127,기록필요항목!$C$2:$C$19,0)),"")</f>
        <v/>
      </c>
      <c r="C127" s="4"/>
      <c r="D127" s="4"/>
      <c r="E127" s="4" t="str">
        <f aca="false">IFERROR(INDEX(기록필요항목!$D$2:$D$19,MATCH(C127,기록필요항목!$C$2:$C$19,0)),"")</f>
        <v/>
      </c>
      <c r="F127" s="4"/>
    </row>
    <row r="128" customFormat="false" ht="15" hidden="false" customHeight="true" outlineLevel="0" collapsed="false">
      <c r="A128" s="4"/>
      <c r="B128" s="4" t="str">
        <f aca="false">IFERROR(INDEX(기록필요항목!$A$2:$A$19,MATCH(C128,기록필요항목!$C$2:$C$19,0)),"")</f>
        <v/>
      </c>
      <c r="C128" s="4"/>
      <c r="D128" s="4"/>
      <c r="E128" s="4" t="str">
        <f aca="false">IFERROR(INDEX(기록필요항목!$D$2:$D$19,MATCH(C128,기록필요항목!$C$2:$C$19,0)),"")</f>
        <v/>
      </c>
      <c r="F128" s="4"/>
    </row>
    <row r="129" customFormat="false" ht="15" hidden="false" customHeight="true" outlineLevel="0" collapsed="false">
      <c r="A129" s="4"/>
      <c r="B129" s="4" t="str">
        <f aca="false">IFERROR(INDEX(기록필요항목!$A$2:$A$19,MATCH(C129,기록필요항목!$C$2:$C$19,0)),"")</f>
        <v/>
      </c>
      <c r="C129" s="4"/>
      <c r="D129" s="4"/>
      <c r="E129" s="4" t="str">
        <f aca="false">IFERROR(INDEX(기록필요항목!$D$2:$D$19,MATCH(C129,기록필요항목!$C$2:$C$19,0)),"")</f>
        <v/>
      </c>
      <c r="F129" s="4"/>
    </row>
    <row r="130" customFormat="false" ht="15" hidden="false" customHeight="true" outlineLevel="0" collapsed="false">
      <c r="A130" s="4"/>
      <c r="B130" s="4" t="str">
        <f aca="false">IFERROR(INDEX(기록필요항목!$A$2:$A$19,MATCH(C130,기록필요항목!$C$2:$C$19,0)),"")</f>
        <v/>
      </c>
      <c r="C130" s="4"/>
      <c r="D130" s="4"/>
      <c r="E130" s="4" t="str">
        <f aca="false">IFERROR(INDEX(기록필요항목!$D$2:$D$19,MATCH(C130,기록필요항목!$C$2:$C$19,0)),"")</f>
        <v/>
      </c>
      <c r="F130" s="4"/>
    </row>
    <row r="131" customFormat="false" ht="15" hidden="false" customHeight="true" outlineLevel="0" collapsed="false">
      <c r="A131" s="4"/>
      <c r="B131" s="4" t="str">
        <f aca="false">IFERROR(INDEX(기록필요항목!$A$2:$A$19,MATCH(C131,기록필요항목!$C$2:$C$19,0)),"")</f>
        <v/>
      </c>
      <c r="C131" s="4"/>
      <c r="D131" s="4"/>
      <c r="E131" s="4" t="str">
        <f aca="false">IFERROR(INDEX(기록필요항목!$D$2:$D$19,MATCH(C131,기록필요항목!$C$2:$C$19,0)),"")</f>
        <v/>
      </c>
      <c r="F131" s="4"/>
    </row>
    <row r="132" customFormat="false" ht="15" hidden="false" customHeight="true" outlineLevel="0" collapsed="false">
      <c r="A132" s="4"/>
      <c r="B132" s="4" t="str">
        <f aca="false">IFERROR(INDEX(기록필요항목!$A$2:$A$19,MATCH(C132,기록필요항목!$C$2:$C$19,0)),"")</f>
        <v/>
      </c>
      <c r="C132" s="4"/>
      <c r="D132" s="4"/>
      <c r="E132" s="4" t="str">
        <f aca="false">IFERROR(INDEX(기록필요항목!$D$2:$D$19,MATCH(C132,기록필요항목!$C$2:$C$19,0)),"")</f>
        <v/>
      </c>
      <c r="F132" s="4"/>
    </row>
    <row r="133" customFormat="false" ht="15" hidden="false" customHeight="true" outlineLevel="0" collapsed="false">
      <c r="A133" s="4"/>
      <c r="B133" s="4" t="str">
        <f aca="false">IFERROR(INDEX(기록필요항목!$A$2:$A$19,MATCH(C133,기록필요항목!$C$2:$C$19,0)),"")</f>
        <v/>
      </c>
      <c r="C133" s="4"/>
      <c r="D133" s="4"/>
      <c r="E133" s="4" t="str">
        <f aca="false">IFERROR(INDEX(기록필요항목!$D$2:$D$19,MATCH(C133,기록필요항목!$C$2:$C$19,0)),"")</f>
        <v/>
      </c>
      <c r="F133" s="4"/>
    </row>
    <row r="134" customFormat="false" ht="15" hidden="false" customHeight="true" outlineLevel="0" collapsed="false">
      <c r="A134" s="4"/>
      <c r="B134" s="4" t="str">
        <f aca="false">IFERROR(INDEX(기록필요항목!$A$2:$A$19,MATCH(C134,기록필요항목!$C$2:$C$19,0)),"")</f>
        <v/>
      </c>
      <c r="C134" s="4"/>
      <c r="D134" s="4"/>
      <c r="E134" s="4" t="str">
        <f aca="false">IFERROR(INDEX(기록필요항목!$D$2:$D$19,MATCH(C134,기록필요항목!$C$2:$C$19,0)),"")</f>
        <v/>
      </c>
      <c r="F134" s="4"/>
    </row>
    <row r="135" customFormat="false" ht="15" hidden="false" customHeight="true" outlineLevel="0" collapsed="false">
      <c r="A135" s="4"/>
      <c r="B135" s="4" t="str">
        <f aca="false">IFERROR(INDEX(기록필요항목!$A$2:$A$19,MATCH(C135,기록필요항목!$C$2:$C$19,0)),"")</f>
        <v/>
      </c>
      <c r="C135" s="4"/>
      <c r="D135" s="4"/>
      <c r="E135" s="4" t="str">
        <f aca="false">IFERROR(INDEX(기록필요항목!$D$2:$D$19,MATCH(C135,기록필요항목!$C$2:$C$19,0)),"")</f>
        <v/>
      </c>
      <c r="F135" s="4"/>
    </row>
    <row r="136" customFormat="false" ht="15" hidden="false" customHeight="true" outlineLevel="0" collapsed="false">
      <c r="A136" s="4"/>
      <c r="B136" s="4" t="str">
        <f aca="false">IFERROR(INDEX(기록필요항목!$A$2:$A$19,MATCH(C136,기록필요항목!$C$2:$C$19,0)),"")</f>
        <v/>
      </c>
      <c r="C136" s="4"/>
      <c r="D136" s="4"/>
      <c r="E136" s="4" t="str">
        <f aca="false">IFERROR(INDEX(기록필요항목!$D$2:$D$19,MATCH(C136,기록필요항목!$C$2:$C$19,0)),"")</f>
        <v/>
      </c>
      <c r="F136" s="4"/>
    </row>
    <row r="137" customFormat="false" ht="15" hidden="false" customHeight="true" outlineLevel="0" collapsed="false">
      <c r="A137" s="4"/>
      <c r="B137" s="4" t="str">
        <f aca="false">IFERROR(INDEX(기록필요항목!$A$2:$A$19,MATCH(C137,기록필요항목!$C$2:$C$19,0)),"")</f>
        <v/>
      </c>
      <c r="C137" s="4"/>
      <c r="D137" s="4"/>
      <c r="E137" s="4" t="str">
        <f aca="false">IFERROR(INDEX(기록필요항목!$D$2:$D$19,MATCH(C137,기록필요항목!$C$2:$C$19,0)),"")</f>
        <v/>
      </c>
      <c r="F137" s="4"/>
    </row>
    <row r="138" customFormat="false" ht="15" hidden="false" customHeight="true" outlineLevel="0" collapsed="false">
      <c r="A138" s="4"/>
      <c r="B138" s="4" t="str">
        <f aca="false">IFERROR(INDEX(기록필요항목!$A$2:$A$19,MATCH(C138,기록필요항목!$C$2:$C$19,0)),"")</f>
        <v/>
      </c>
      <c r="C138" s="4"/>
      <c r="D138" s="4"/>
      <c r="E138" s="4" t="str">
        <f aca="false">IFERROR(INDEX(기록필요항목!$D$2:$D$19,MATCH(C138,기록필요항목!$C$2:$C$19,0)),"")</f>
        <v/>
      </c>
      <c r="F138" s="4"/>
    </row>
    <row r="139" customFormat="false" ht="15" hidden="false" customHeight="true" outlineLevel="0" collapsed="false">
      <c r="A139" s="4"/>
      <c r="B139" s="4" t="str">
        <f aca="false">IFERROR(INDEX(기록필요항목!$A$2:$A$19,MATCH(C139,기록필요항목!$C$2:$C$19,0)),"")</f>
        <v/>
      </c>
      <c r="C139" s="4"/>
      <c r="D139" s="4"/>
      <c r="E139" s="4" t="str">
        <f aca="false">IFERROR(INDEX(기록필요항목!$D$2:$D$19,MATCH(C139,기록필요항목!$C$2:$C$19,0)),"")</f>
        <v/>
      </c>
      <c r="F139" s="4"/>
    </row>
    <row r="140" customFormat="false" ht="15" hidden="false" customHeight="true" outlineLevel="0" collapsed="false">
      <c r="A140" s="4"/>
      <c r="B140" s="4" t="str">
        <f aca="false">IFERROR(INDEX(기록필요항목!$A$2:$A$19,MATCH(C140,기록필요항목!$C$2:$C$19,0)),"")</f>
        <v/>
      </c>
      <c r="C140" s="4"/>
      <c r="D140" s="4"/>
      <c r="E140" s="4" t="str">
        <f aca="false">IFERROR(INDEX(기록필요항목!$D$2:$D$19,MATCH(C140,기록필요항목!$C$2:$C$19,0)),"")</f>
        <v/>
      </c>
      <c r="F140" s="4"/>
    </row>
    <row r="141" customFormat="false" ht="15" hidden="false" customHeight="true" outlineLevel="0" collapsed="false">
      <c r="A141" s="4"/>
      <c r="B141" s="4" t="str">
        <f aca="false">IFERROR(INDEX(기록필요항목!$A$2:$A$19,MATCH(C141,기록필요항목!$C$2:$C$19,0)),"")</f>
        <v/>
      </c>
      <c r="C141" s="4"/>
      <c r="D141" s="4"/>
      <c r="E141" s="4" t="str">
        <f aca="false">IFERROR(INDEX(기록필요항목!$D$2:$D$19,MATCH(C141,기록필요항목!$C$2:$C$19,0)),"")</f>
        <v/>
      </c>
      <c r="F141" s="4"/>
    </row>
    <row r="142" customFormat="false" ht="15" hidden="false" customHeight="true" outlineLevel="0" collapsed="false">
      <c r="A142" s="4"/>
      <c r="B142" s="4" t="str">
        <f aca="false">IFERROR(INDEX(기록필요항목!$A$2:$A$19,MATCH(C142,기록필요항목!$C$2:$C$19,0)),"")</f>
        <v/>
      </c>
      <c r="C142" s="4"/>
      <c r="D142" s="4"/>
      <c r="E142" s="4" t="str">
        <f aca="false">IFERROR(INDEX(기록필요항목!$D$2:$D$19,MATCH(C142,기록필요항목!$C$2:$C$19,0)),"")</f>
        <v/>
      </c>
      <c r="F142" s="4"/>
    </row>
    <row r="143" customFormat="false" ht="15" hidden="false" customHeight="true" outlineLevel="0" collapsed="false">
      <c r="A143" s="4"/>
      <c r="B143" s="4" t="str">
        <f aca="false">IFERROR(INDEX(기록필요항목!$A$2:$A$19,MATCH(C143,기록필요항목!$C$2:$C$19,0)),"")</f>
        <v/>
      </c>
      <c r="C143" s="4"/>
      <c r="D143" s="4"/>
      <c r="E143" s="4" t="str">
        <f aca="false">IFERROR(INDEX(기록필요항목!$D$2:$D$19,MATCH(C143,기록필요항목!$C$2:$C$19,0)),"")</f>
        <v/>
      </c>
      <c r="F143" s="4"/>
    </row>
    <row r="144" customFormat="false" ht="15" hidden="false" customHeight="true" outlineLevel="0" collapsed="false">
      <c r="A144" s="4"/>
      <c r="B144" s="4" t="str">
        <f aca="false">IFERROR(INDEX(기록필요항목!$A$2:$A$19,MATCH(C144,기록필요항목!$C$2:$C$19,0)),"")</f>
        <v/>
      </c>
      <c r="C144" s="4"/>
      <c r="D144" s="4"/>
      <c r="E144" s="4" t="str">
        <f aca="false">IFERROR(INDEX(기록필요항목!$D$2:$D$19,MATCH(C144,기록필요항목!$C$2:$C$19,0)),"")</f>
        <v/>
      </c>
      <c r="F144" s="4"/>
    </row>
    <row r="145" customFormat="false" ht="15" hidden="false" customHeight="true" outlineLevel="0" collapsed="false">
      <c r="A145" s="4"/>
      <c r="B145" s="4" t="str">
        <f aca="false">IFERROR(INDEX(기록필요항목!$A$2:$A$19,MATCH(C145,기록필요항목!$C$2:$C$19,0)),"")</f>
        <v/>
      </c>
      <c r="C145" s="4"/>
      <c r="D145" s="4"/>
      <c r="E145" s="4" t="str">
        <f aca="false">IFERROR(INDEX(기록필요항목!$D$2:$D$19,MATCH(C145,기록필요항목!$C$2:$C$19,0)),"")</f>
        <v/>
      </c>
      <c r="F145" s="4"/>
    </row>
    <row r="146" customFormat="false" ht="15" hidden="false" customHeight="true" outlineLevel="0" collapsed="false">
      <c r="A146" s="4"/>
      <c r="B146" s="4" t="str">
        <f aca="false">IFERROR(INDEX(기록필요항목!$A$2:$A$19,MATCH(C146,기록필요항목!$C$2:$C$19,0)),"")</f>
        <v/>
      </c>
      <c r="C146" s="4"/>
      <c r="D146" s="4"/>
      <c r="E146" s="4" t="str">
        <f aca="false">IFERROR(INDEX(기록필요항목!$D$2:$D$19,MATCH(C146,기록필요항목!$C$2:$C$19,0)),"")</f>
        <v/>
      </c>
      <c r="F146" s="4"/>
    </row>
    <row r="147" customFormat="false" ht="15" hidden="false" customHeight="true" outlineLevel="0" collapsed="false">
      <c r="A147" s="4"/>
      <c r="B147" s="4" t="str">
        <f aca="false">IFERROR(INDEX(기록필요항목!$A$2:$A$19,MATCH(C147,기록필요항목!$C$2:$C$19,0)),"")</f>
        <v/>
      </c>
      <c r="C147" s="4"/>
      <c r="D147" s="4"/>
      <c r="E147" s="4" t="str">
        <f aca="false">IFERROR(INDEX(기록필요항목!$D$2:$D$19,MATCH(C147,기록필요항목!$C$2:$C$19,0)),"")</f>
        <v/>
      </c>
      <c r="F147" s="4"/>
    </row>
    <row r="148" customFormat="false" ht="15" hidden="false" customHeight="true" outlineLevel="0" collapsed="false">
      <c r="A148" s="4"/>
      <c r="B148" s="4" t="str">
        <f aca="false">IFERROR(INDEX(기록필요항목!$A$2:$A$19,MATCH(C148,기록필요항목!$C$2:$C$19,0)),"")</f>
        <v/>
      </c>
      <c r="C148" s="4"/>
      <c r="D148" s="4"/>
      <c r="E148" s="4" t="str">
        <f aca="false">IFERROR(INDEX(기록필요항목!$D$2:$D$19,MATCH(C148,기록필요항목!$C$2:$C$19,0)),"")</f>
        <v/>
      </c>
      <c r="F148" s="4"/>
    </row>
    <row r="149" customFormat="false" ht="15" hidden="false" customHeight="true" outlineLevel="0" collapsed="false">
      <c r="A149" s="4"/>
      <c r="B149" s="4" t="str">
        <f aca="false">IFERROR(INDEX(기록필요항목!$A$2:$A$19,MATCH(C149,기록필요항목!$C$2:$C$19,0)),"")</f>
        <v/>
      </c>
      <c r="C149" s="4"/>
      <c r="D149" s="4"/>
      <c r="E149" s="4" t="str">
        <f aca="false">IFERROR(INDEX(기록필요항목!$D$2:$D$19,MATCH(C149,기록필요항목!$C$2:$C$19,0)),"")</f>
        <v/>
      </c>
      <c r="F149" s="4"/>
    </row>
    <row r="150" customFormat="false" ht="15" hidden="false" customHeight="true" outlineLevel="0" collapsed="false">
      <c r="A150" s="4"/>
      <c r="B150" s="4" t="str">
        <f aca="false">IFERROR(INDEX(기록필요항목!$A$2:$A$19,MATCH(C150,기록필요항목!$C$2:$C$19,0)),"")</f>
        <v/>
      </c>
      <c r="C150" s="4"/>
      <c r="D150" s="4"/>
      <c r="E150" s="4" t="str">
        <f aca="false">IFERROR(INDEX(기록필요항목!$D$2:$D$19,MATCH(C150,기록필요항목!$C$2:$C$19,0)),"")</f>
        <v/>
      </c>
      <c r="F150" s="4"/>
    </row>
    <row r="151" customFormat="false" ht="15" hidden="false" customHeight="true" outlineLevel="0" collapsed="false">
      <c r="A151" s="4"/>
      <c r="B151" s="4" t="str">
        <f aca="false">IFERROR(INDEX(기록필요항목!$A$2:$A$19,MATCH(C151,기록필요항목!$C$2:$C$19,0)),"")</f>
        <v/>
      </c>
      <c r="C151" s="4"/>
      <c r="D151" s="4"/>
      <c r="E151" s="4" t="str">
        <f aca="false">IFERROR(INDEX(기록필요항목!$D$2:$D$19,MATCH(C151,기록필요항목!$C$2:$C$19,0)),"")</f>
        <v/>
      </c>
      <c r="F151" s="4"/>
    </row>
    <row r="152" customFormat="false" ht="15" hidden="false" customHeight="true" outlineLevel="0" collapsed="false">
      <c r="A152" s="4"/>
      <c r="B152" s="4" t="str">
        <f aca="false">IFERROR(INDEX(기록필요항목!$A$2:$A$19,MATCH(C152,기록필요항목!$C$2:$C$19,0)),"")</f>
        <v/>
      </c>
      <c r="C152" s="4"/>
      <c r="D152" s="4"/>
      <c r="E152" s="4" t="str">
        <f aca="false">IFERROR(INDEX(기록필요항목!$D$2:$D$19,MATCH(C152,기록필요항목!$C$2:$C$19,0)),"")</f>
        <v/>
      </c>
      <c r="F152" s="4"/>
    </row>
    <row r="153" customFormat="false" ht="15" hidden="false" customHeight="true" outlineLevel="0" collapsed="false">
      <c r="A153" s="4"/>
      <c r="B153" s="4" t="str">
        <f aca="false">IFERROR(INDEX(기록필요항목!$A$2:$A$19,MATCH(C153,기록필요항목!$C$2:$C$19,0)),"")</f>
        <v/>
      </c>
      <c r="C153" s="4"/>
      <c r="D153" s="4"/>
      <c r="E153" s="4" t="str">
        <f aca="false">IFERROR(INDEX(기록필요항목!$D$2:$D$19,MATCH(C153,기록필요항목!$C$2:$C$19,0)),"")</f>
        <v/>
      </c>
      <c r="F153" s="4"/>
    </row>
    <row r="154" customFormat="false" ht="15" hidden="false" customHeight="true" outlineLevel="0" collapsed="false">
      <c r="A154" s="4"/>
      <c r="B154" s="4" t="str">
        <f aca="false">IFERROR(INDEX(기록필요항목!$A$2:$A$19,MATCH(C154,기록필요항목!$C$2:$C$19,0)),"")</f>
        <v/>
      </c>
      <c r="C154" s="4"/>
      <c r="D154" s="4"/>
      <c r="E154" s="4" t="str">
        <f aca="false">IFERROR(INDEX(기록필요항목!$D$2:$D$19,MATCH(C154,기록필요항목!$C$2:$C$19,0)),"")</f>
        <v/>
      </c>
      <c r="F154" s="4"/>
    </row>
    <row r="155" customFormat="false" ht="15" hidden="false" customHeight="true" outlineLevel="0" collapsed="false">
      <c r="A155" s="4"/>
      <c r="B155" s="4" t="str">
        <f aca="false">IFERROR(INDEX(기록필요항목!$A$2:$A$19,MATCH(C155,기록필요항목!$C$2:$C$19,0)),"")</f>
        <v/>
      </c>
      <c r="C155" s="4"/>
      <c r="D155" s="4"/>
      <c r="E155" s="4" t="str">
        <f aca="false">IFERROR(INDEX(기록필요항목!$D$2:$D$19,MATCH(C155,기록필요항목!$C$2:$C$19,0)),"")</f>
        <v/>
      </c>
      <c r="F155" s="4"/>
    </row>
    <row r="156" customFormat="false" ht="15" hidden="false" customHeight="true" outlineLevel="0" collapsed="false">
      <c r="A156" s="4"/>
      <c r="B156" s="4" t="str">
        <f aca="false">IFERROR(INDEX(기록필요항목!$A$2:$A$19,MATCH(C156,기록필요항목!$C$2:$C$19,0)),"")</f>
        <v/>
      </c>
      <c r="C156" s="4"/>
      <c r="D156" s="4"/>
      <c r="E156" s="4" t="str">
        <f aca="false">IFERROR(INDEX(기록필요항목!$D$2:$D$19,MATCH(C156,기록필요항목!$C$2:$C$19,0)),"")</f>
        <v/>
      </c>
      <c r="F156" s="4"/>
    </row>
    <row r="157" customFormat="false" ht="15" hidden="false" customHeight="true" outlineLevel="0" collapsed="false">
      <c r="A157" s="4"/>
      <c r="B157" s="4" t="str">
        <f aca="false">IFERROR(INDEX(기록필요항목!$A$2:$A$19,MATCH(C157,기록필요항목!$C$2:$C$19,0)),"")</f>
        <v/>
      </c>
      <c r="C157" s="4"/>
      <c r="D157" s="4"/>
      <c r="E157" s="4" t="str">
        <f aca="false">IFERROR(INDEX(기록필요항목!$D$2:$D$19,MATCH(C157,기록필요항목!$C$2:$C$19,0)),"")</f>
        <v/>
      </c>
      <c r="F157" s="4"/>
    </row>
    <row r="158" customFormat="false" ht="15" hidden="false" customHeight="true" outlineLevel="0" collapsed="false">
      <c r="A158" s="4"/>
      <c r="B158" s="4" t="str">
        <f aca="false">IFERROR(INDEX(기록필요항목!$A$2:$A$19,MATCH(C158,기록필요항목!$C$2:$C$19,0)),"")</f>
        <v/>
      </c>
      <c r="C158" s="4"/>
      <c r="D158" s="4"/>
      <c r="E158" s="4" t="str">
        <f aca="false">IFERROR(INDEX(기록필요항목!$D$2:$D$19,MATCH(C158,기록필요항목!$C$2:$C$19,0)),"")</f>
        <v/>
      </c>
      <c r="F158" s="4"/>
    </row>
    <row r="159" customFormat="false" ht="15" hidden="false" customHeight="true" outlineLevel="0" collapsed="false">
      <c r="A159" s="4"/>
      <c r="B159" s="4" t="str">
        <f aca="false">IFERROR(INDEX(기록필요항목!$A$2:$A$19,MATCH(C159,기록필요항목!$C$2:$C$19,0)),"")</f>
        <v/>
      </c>
      <c r="C159" s="4"/>
      <c r="D159" s="4"/>
      <c r="E159" s="4" t="str">
        <f aca="false">IFERROR(INDEX(기록필요항목!$D$2:$D$19,MATCH(C159,기록필요항목!$C$2:$C$19,0)),"")</f>
        <v/>
      </c>
      <c r="F159" s="4"/>
    </row>
    <row r="160" customFormat="false" ht="15" hidden="false" customHeight="true" outlineLevel="0" collapsed="false">
      <c r="A160" s="4"/>
      <c r="B160" s="4" t="str">
        <f aca="false">IFERROR(INDEX(기록필요항목!$A$2:$A$19,MATCH(C160,기록필요항목!$C$2:$C$19,0)),"")</f>
        <v/>
      </c>
      <c r="C160" s="4"/>
      <c r="D160" s="4"/>
      <c r="E160" s="4" t="str">
        <f aca="false">IFERROR(INDEX(기록필요항목!$D$2:$D$19,MATCH(C160,기록필요항목!$C$2:$C$19,0)),"")</f>
        <v/>
      </c>
      <c r="F160" s="4"/>
    </row>
    <row r="161" customFormat="false" ht="15" hidden="false" customHeight="true" outlineLevel="0" collapsed="false">
      <c r="A161" s="4"/>
      <c r="B161" s="4" t="str">
        <f aca="false">IFERROR(INDEX(기록필요항목!$A$2:$A$19,MATCH(C161,기록필요항목!$C$2:$C$19,0)),"")</f>
        <v/>
      </c>
      <c r="C161" s="4"/>
      <c r="D161" s="4"/>
      <c r="E161" s="4" t="str">
        <f aca="false">IFERROR(INDEX(기록필요항목!$D$2:$D$19,MATCH(C161,기록필요항목!$C$2:$C$19,0)),"")</f>
        <v/>
      </c>
      <c r="F161" s="4"/>
    </row>
    <row r="162" customFormat="false" ht="15" hidden="false" customHeight="true" outlineLevel="0" collapsed="false">
      <c r="A162" s="4"/>
      <c r="B162" s="4" t="str">
        <f aca="false">IFERROR(INDEX(기록필요항목!$A$2:$A$19,MATCH(C162,기록필요항목!$C$2:$C$19,0)),"")</f>
        <v/>
      </c>
      <c r="C162" s="4"/>
      <c r="D162" s="4"/>
      <c r="E162" s="4" t="str">
        <f aca="false">IFERROR(INDEX(기록필요항목!$D$2:$D$19,MATCH(C162,기록필요항목!$C$2:$C$19,0)),"")</f>
        <v/>
      </c>
      <c r="F162" s="4"/>
    </row>
    <row r="163" customFormat="false" ht="15" hidden="false" customHeight="true" outlineLevel="0" collapsed="false">
      <c r="A163" s="4"/>
      <c r="B163" s="4" t="str">
        <f aca="false">IFERROR(INDEX(기록필요항목!$A$2:$A$19,MATCH(C163,기록필요항목!$C$2:$C$19,0)),"")</f>
        <v/>
      </c>
      <c r="C163" s="4"/>
      <c r="D163" s="4"/>
      <c r="E163" s="4" t="str">
        <f aca="false">IFERROR(INDEX(기록필요항목!$D$2:$D$19,MATCH(C163,기록필요항목!$C$2:$C$19,0)),"")</f>
        <v/>
      </c>
      <c r="F163" s="4"/>
    </row>
    <row r="164" customFormat="false" ht="15" hidden="false" customHeight="true" outlineLevel="0" collapsed="false">
      <c r="A164" s="4"/>
      <c r="B164" s="4" t="str">
        <f aca="false">IFERROR(INDEX(기록필요항목!$A$2:$A$19,MATCH(C164,기록필요항목!$C$2:$C$19,0)),"")</f>
        <v/>
      </c>
      <c r="C164" s="4"/>
      <c r="D164" s="4"/>
      <c r="E164" s="4" t="str">
        <f aca="false">IFERROR(INDEX(기록필요항목!$D$2:$D$19,MATCH(C164,기록필요항목!$C$2:$C$19,0)),"")</f>
        <v/>
      </c>
      <c r="F164" s="4"/>
    </row>
    <row r="165" customFormat="false" ht="15" hidden="false" customHeight="true" outlineLevel="0" collapsed="false">
      <c r="A165" s="4"/>
      <c r="B165" s="4" t="str">
        <f aca="false">IFERROR(INDEX(기록필요항목!$A$2:$A$19,MATCH(C165,기록필요항목!$C$2:$C$19,0)),"")</f>
        <v/>
      </c>
      <c r="C165" s="4"/>
      <c r="D165" s="4"/>
      <c r="E165" s="4" t="str">
        <f aca="false">IFERROR(INDEX(기록필요항목!$D$2:$D$19,MATCH(C165,기록필요항목!$C$2:$C$19,0)),"")</f>
        <v/>
      </c>
      <c r="F165" s="4"/>
    </row>
    <row r="166" customFormat="false" ht="15" hidden="false" customHeight="true" outlineLevel="0" collapsed="false">
      <c r="A166" s="4"/>
      <c r="B166" s="4" t="str">
        <f aca="false">IFERROR(INDEX(기록필요항목!$A$2:$A$19,MATCH(C166,기록필요항목!$C$2:$C$19,0)),"")</f>
        <v/>
      </c>
      <c r="C166" s="4"/>
      <c r="D166" s="4"/>
      <c r="E166" s="4" t="str">
        <f aca="false">IFERROR(INDEX(기록필요항목!$D$2:$D$19,MATCH(C166,기록필요항목!$C$2:$C$19,0)),"")</f>
        <v/>
      </c>
      <c r="F166" s="4"/>
    </row>
    <row r="167" customFormat="false" ht="15" hidden="false" customHeight="true" outlineLevel="0" collapsed="false">
      <c r="A167" s="4"/>
      <c r="B167" s="4" t="str">
        <f aca="false">IFERROR(INDEX(기록필요항목!$A$2:$A$19,MATCH(C167,기록필요항목!$C$2:$C$19,0)),"")</f>
        <v/>
      </c>
      <c r="C167" s="4"/>
      <c r="D167" s="4"/>
      <c r="E167" s="4" t="str">
        <f aca="false">IFERROR(INDEX(기록필요항목!$D$2:$D$19,MATCH(C167,기록필요항목!$C$2:$C$19,0)),"")</f>
        <v/>
      </c>
      <c r="F167" s="4"/>
    </row>
    <row r="168" customFormat="false" ht="15" hidden="false" customHeight="true" outlineLevel="0" collapsed="false">
      <c r="A168" s="4"/>
      <c r="B168" s="4" t="str">
        <f aca="false">IFERROR(INDEX(기록필요항목!$A$2:$A$19,MATCH(C168,기록필요항목!$C$2:$C$19,0)),"")</f>
        <v/>
      </c>
      <c r="C168" s="4"/>
      <c r="D168" s="4"/>
      <c r="E168" s="4" t="str">
        <f aca="false">IFERROR(INDEX(기록필요항목!$D$2:$D$19,MATCH(C168,기록필요항목!$C$2:$C$19,0)),"")</f>
        <v/>
      </c>
      <c r="F168" s="4"/>
    </row>
    <row r="169" customFormat="false" ht="15" hidden="false" customHeight="true" outlineLevel="0" collapsed="false">
      <c r="A169" s="4"/>
      <c r="B169" s="4" t="str">
        <f aca="false">IFERROR(INDEX(기록필요항목!$A$2:$A$19,MATCH(C169,기록필요항목!$C$2:$C$19,0)),"")</f>
        <v/>
      </c>
      <c r="C169" s="4"/>
      <c r="D169" s="4"/>
      <c r="E169" s="4" t="str">
        <f aca="false">IFERROR(INDEX(기록필요항목!$D$2:$D$19,MATCH(C169,기록필요항목!$C$2:$C$19,0)),"")</f>
        <v/>
      </c>
      <c r="F169" s="4"/>
    </row>
    <row r="170" customFormat="false" ht="15" hidden="false" customHeight="true" outlineLevel="0" collapsed="false">
      <c r="A170" s="4"/>
      <c r="B170" s="4" t="str">
        <f aca="false">IFERROR(INDEX(기록필요항목!$A$2:$A$19,MATCH(C170,기록필요항목!$C$2:$C$19,0)),"")</f>
        <v/>
      </c>
      <c r="C170" s="4"/>
      <c r="D170" s="4"/>
      <c r="E170" s="4" t="str">
        <f aca="false">IFERROR(INDEX(기록필요항목!$D$2:$D$19,MATCH(C170,기록필요항목!$C$2:$C$19,0)),"")</f>
        <v/>
      </c>
      <c r="F170" s="4"/>
    </row>
    <row r="171" customFormat="false" ht="15" hidden="false" customHeight="true" outlineLevel="0" collapsed="false">
      <c r="A171" s="4"/>
      <c r="B171" s="4" t="str">
        <f aca="false">IFERROR(INDEX(기록필요항목!$A$2:$A$19,MATCH(C171,기록필요항목!$C$2:$C$19,0)),"")</f>
        <v/>
      </c>
      <c r="C171" s="4"/>
      <c r="D171" s="4"/>
      <c r="E171" s="4" t="str">
        <f aca="false">IFERROR(INDEX(기록필요항목!$D$2:$D$19,MATCH(C171,기록필요항목!$C$2:$C$19,0)),"")</f>
        <v/>
      </c>
      <c r="F171" s="4"/>
    </row>
    <row r="172" customFormat="false" ht="15" hidden="false" customHeight="true" outlineLevel="0" collapsed="false">
      <c r="A172" s="4"/>
      <c r="B172" s="4" t="str">
        <f aca="false">IFERROR(INDEX(기록필요항목!$A$2:$A$19,MATCH(C172,기록필요항목!$C$2:$C$19,0)),"")</f>
        <v/>
      </c>
      <c r="C172" s="4"/>
      <c r="D172" s="4"/>
      <c r="E172" s="4" t="str">
        <f aca="false">IFERROR(INDEX(기록필요항목!$D$2:$D$19,MATCH(C172,기록필요항목!$C$2:$C$19,0)),"")</f>
        <v/>
      </c>
      <c r="F172" s="4"/>
    </row>
    <row r="173" customFormat="false" ht="15" hidden="false" customHeight="true" outlineLevel="0" collapsed="false">
      <c r="A173" s="4"/>
      <c r="B173" s="4" t="str">
        <f aca="false">IFERROR(INDEX(기록필요항목!$A$2:$A$19,MATCH(C173,기록필요항목!$C$2:$C$19,0)),"")</f>
        <v/>
      </c>
      <c r="C173" s="4"/>
      <c r="D173" s="4"/>
      <c r="E173" s="4" t="str">
        <f aca="false">IFERROR(INDEX(기록필요항목!$D$2:$D$19,MATCH(C173,기록필요항목!$C$2:$C$19,0)),"")</f>
        <v/>
      </c>
      <c r="F173" s="4"/>
    </row>
    <row r="174" customFormat="false" ht="15" hidden="false" customHeight="true" outlineLevel="0" collapsed="false">
      <c r="A174" s="4"/>
      <c r="B174" s="4" t="str">
        <f aca="false">IFERROR(INDEX(기록필요항목!$A$2:$A$19,MATCH(C174,기록필요항목!$C$2:$C$19,0)),"")</f>
        <v/>
      </c>
      <c r="C174" s="4"/>
      <c r="D174" s="4"/>
      <c r="E174" s="4" t="str">
        <f aca="false">IFERROR(INDEX(기록필요항목!$D$2:$D$19,MATCH(C174,기록필요항목!$C$2:$C$19,0)),"")</f>
        <v/>
      </c>
      <c r="F174" s="4"/>
    </row>
    <row r="175" customFormat="false" ht="15" hidden="false" customHeight="true" outlineLevel="0" collapsed="false">
      <c r="A175" s="4"/>
      <c r="B175" s="4" t="str">
        <f aca="false">IFERROR(INDEX(기록필요항목!$A$2:$A$19,MATCH(C175,기록필요항목!$C$2:$C$19,0)),"")</f>
        <v/>
      </c>
      <c r="C175" s="4"/>
      <c r="D175" s="4"/>
      <c r="E175" s="4" t="str">
        <f aca="false">IFERROR(INDEX(기록필요항목!$D$2:$D$19,MATCH(C175,기록필요항목!$C$2:$C$19,0)),"")</f>
        <v/>
      </c>
      <c r="F175" s="4"/>
    </row>
    <row r="176" customFormat="false" ht="15" hidden="false" customHeight="true" outlineLevel="0" collapsed="false">
      <c r="A176" s="4"/>
      <c r="B176" s="4" t="str">
        <f aca="false">IFERROR(INDEX(기록필요항목!$A$2:$A$19,MATCH(C176,기록필요항목!$C$2:$C$19,0)),"")</f>
        <v/>
      </c>
      <c r="C176" s="4"/>
      <c r="D176" s="4"/>
      <c r="E176" s="4" t="str">
        <f aca="false">IFERROR(INDEX(기록필요항목!$D$2:$D$19,MATCH(C176,기록필요항목!$C$2:$C$19,0)),"")</f>
        <v/>
      </c>
      <c r="F176" s="4"/>
    </row>
    <row r="177" customFormat="false" ht="15" hidden="false" customHeight="true" outlineLevel="0" collapsed="false">
      <c r="A177" s="4"/>
      <c r="B177" s="4" t="str">
        <f aca="false">IFERROR(INDEX(기록필요항목!$A$2:$A$19,MATCH(C177,기록필요항목!$C$2:$C$19,0)),"")</f>
        <v/>
      </c>
      <c r="C177" s="4"/>
      <c r="D177" s="4"/>
      <c r="E177" s="4" t="str">
        <f aca="false">IFERROR(INDEX(기록필요항목!$D$2:$D$19,MATCH(C177,기록필요항목!$C$2:$C$19,0)),"")</f>
        <v/>
      </c>
      <c r="F177" s="4"/>
    </row>
    <row r="178" customFormat="false" ht="15" hidden="false" customHeight="true" outlineLevel="0" collapsed="false">
      <c r="A178" s="4"/>
      <c r="B178" s="4" t="str">
        <f aca="false">IFERROR(INDEX(기록필요항목!$A$2:$A$19,MATCH(C178,기록필요항목!$C$2:$C$19,0)),"")</f>
        <v/>
      </c>
      <c r="C178" s="4"/>
      <c r="D178" s="4"/>
      <c r="E178" s="4" t="str">
        <f aca="false">IFERROR(INDEX(기록필요항목!$D$2:$D$19,MATCH(C178,기록필요항목!$C$2:$C$19,0)),"")</f>
        <v/>
      </c>
      <c r="F178" s="4"/>
    </row>
    <row r="179" customFormat="false" ht="15" hidden="false" customHeight="true" outlineLevel="0" collapsed="false">
      <c r="A179" s="4"/>
      <c r="B179" s="4" t="str">
        <f aca="false">IFERROR(INDEX(기록필요항목!$A$2:$A$19,MATCH(C179,기록필요항목!$C$2:$C$19,0)),"")</f>
        <v/>
      </c>
      <c r="C179" s="4"/>
      <c r="D179" s="4"/>
      <c r="E179" s="4" t="str">
        <f aca="false">IFERROR(INDEX(기록필요항목!$D$2:$D$19,MATCH(C179,기록필요항목!$C$2:$C$19,0)),"")</f>
        <v/>
      </c>
      <c r="F179" s="4"/>
    </row>
    <row r="180" customFormat="false" ht="15" hidden="false" customHeight="true" outlineLevel="0" collapsed="false">
      <c r="A180" s="4"/>
      <c r="B180" s="4" t="str">
        <f aca="false">IFERROR(INDEX(기록필요항목!$A$2:$A$19,MATCH(C180,기록필요항목!$C$2:$C$19,0)),"")</f>
        <v/>
      </c>
      <c r="C180" s="4"/>
      <c r="D180" s="4"/>
      <c r="E180" s="4" t="str">
        <f aca="false">IFERROR(INDEX(기록필요항목!$D$2:$D$19,MATCH(C180,기록필요항목!$C$2:$C$19,0)),"")</f>
        <v/>
      </c>
      <c r="F180" s="4"/>
    </row>
    <row r="181" customFormat="false" ht="15" hidden="false" customHeight="true" outlineLevel="0" collapsed="false">
      <c r="A181" s="4"/>
      <c r="B181" s="4" t="str">
        <f aca="false">IFERROR(INDEX(기록필요항목!$A$2:$A$19,MATCH(C181,기록필요항목!$C$2:$C$19,0)),"")</f>
        <v/>
      </c>
      <c r="C181" s="4"/>
      <c r="D181" s="4"/>
      <c r="E181" s="4" t="str">
        <f aca="false">IFERROR(INDEX(기록필요항목!$D$2:$D$19,MATCH(C181,기록필요항목!$C$2:$C$19,0)),"")</f>
        <v/>
      </c>
      <c r="F181" s="4"/>
    </row>
    <row r="182" customFormat="false" ht="15" hidden="false" customHeight="true" outlineLevel="0" collapsed="false">
      <c r="A182" s="4"/>
      <c r="B182" s="4" t="str">
        <f aca="false">IFERROR(INDEX(기록필요항목!$A$2:$A$19,MATCH(C182,기록필요항목!$C$2:$C$19,0)),"")</f>
        <v/>
      </c>
      <c r="C182" s="4"/>
      <c r="D182" s="4"/>
      <c r="E182" s="4" t="str">
        <f aca="false">IFERROR(INDEX(기록필요항목!$D$2:$D$19,MATCH(C182,기록필요항목!$C$2:$C$19,0)),"")</f>
        <v/>
      </c>
      <c r="F182" s="4"/>
    </row>
    <row r="183" customFormat="false" ht="15" hidden="false" customHeight="true" outlineLevel="0" collapsed="false">
      <c r="A183" s="4"/>
      <c r="B183" s="4" t="str">
        <f aca="false">IFERROR(INDEX(기록필요항목!$A$2:$A$19,MATCH(C183,기록필요항목!$C$2:$C$19,0)),"")</f>
        <v/>
      </c>
      <c r="C183" s="4"/>
      <c r="D183" s="4"/>
      <c r="E183" s="4" t="str">
        <f aca="false">IFERROR(INDEX(기록필요항목!$D$2:$D$19,MATCH(C183,기록필요항목!$C$2:$C$19,0)),"")</f>
        <v/>
      </c>
      <c r="F183" s="4"/>
    </row>
    <row r="184" customFormat="false" ht="15" hidden="false" customHeight="true" outlineLevel="0" collapsed="false">
      <c r="A184" s="4"/>
      <c r="B184" s="4" t="str">
        <f aca="false">IFERROR(INDEX(기록필요항목!$A$2:$A$19,MATCH(C184,기록필요항목!$C$2:$C$19,0)),"")</f>
        <v/>
      </c>
      <c r="C184" s="4"/>
      <c r="D184" s="4"/>
      <c r="E184" s="4" t="str">
        <f aca="false">IFERROR(INDEX(기록필요항목!$D$2:$D$19,MATCH(C184,기록필요항목!$C$2:$C$19,0)),"")</f>
        <v/>
      </c>
      <c r="F184" s="4"/>
    </row>
    <row r="185" customFormat="false" ht="15" hidden="false" customHeight="true" outlineLevel="0" collapsed="false">
      <c r="A185" s="4"/>
      <c r="B185" s="4" t="str">
        <f aca="false">IFERROR(INDEX(기록필요항목!$A$2:$A$19,MATCH(C185,기록필요항목!$C$2:$C$19,0)),"")</f>
        <v/>
      </c>
      <c r="C185" s="4"/>
      <c r="D185" s="4"/>
      <c r="E185" s="4" t="str">
        <f aca="false">IFERROR(INDEX(기록필요항목!$D$2:$D$19,MATCH(C185,기록필요항목!$C$2:$C$19,0)),"")</f>
        <v/>
      </c>
      <c r="F185" s="4"/>
    </row>
    <row r="186" customFormat="false" ht="15" hidden="false" customHeight="true" outlineLevel="0" collapsed="false">
      <c r="A186" s="4"/>
      <c r="B186" s="4" t="str">
        <f aca="false">IFERROR(INDEX(기록필요항목!$A$2:$A$19,MATCH(C186,기록필요항목!$C$2:$C$19,0)),"")</f>
        <v/>
      </c>
      <c r="C186" s="4"/>
      <c r="D186" s="4"/>
      <c r="E186" s="4" t="str">
        <f aca="false">IFERROR(INDEX(기록필요항목!$D$2:$D$19,MATCH(C186,기록필요항목!$C$2:$C$19,0)),"")</f>
        <v/>
      </c>
      <c r="F186" s="4"/>
    </row>
    <row r="187" customFormat="false" ht="15" hidden="false" customHeight="true" outlineLevel="0" collapsed="false">
      <c r="A187" s="4"/>
      <c r="B187" s="4" t="str">
        <f aca="false">IFERROR(INDEX(기록필요항목!$A$2:$A$19,MATCH(C187,기록필요항목!$C$2:$C$19,0)),"")</f>
        <v/>
      </c>
      <c r="C187" s="4"/>
      <c r="D187" s="4"/>
      <c r="E187" s="4" t="str">
        <f aca="false">IFERROR(INDEX(기록필요항목!$D$2:$D$19,MATCH(C187,기록필요항목!$C$2:$C$19,0)),"")</f>
        <v/>
      </c>
      <c r="F187" s="4"/>
    </row>
    <row r="188" customFormat="false" ht="15" hidden="false" customHeight="true" outlineLevel="0" collapsed="false">
      <c r="A188" s="4"/>
      <c r="B188" s="4" t="str">
        <f aca="false">IFERROR(INDEX(기록필요항목!$A$2:$A$19,MATCH(C188,기록필요항목!$C$2:$C$19,0)),"")</f>
        <v/>
      </c>
      <c r="C188" s="4"/>
      <c r="D188" s="4"/>
      <c r="E188" s="4" t="str">
        <f aca="false">IFERROR(INDEX(기록필요항목!$D$2:$D$19,MATCH(C188,기록필요항목!$C$2:$C$19,0)),"")</f>
        <v/>
      </c>
      <c r="F188" s="4"/>
    </row>
    <row r="189" customFormat="false" ht="15" hidden="false" customHeight="true" outlineLevel="0" collapsed="false">
      <c r="A189" s="4"/>
      <c r="B189" s="4" t="str">
        <f aca="false">IFERROR(INDEX(기록필요항목!$A$2:$A$19,MATCH(C189,기록필요항목!$C$2:$C$19,0)),"")</f>
        <v/>
      </c>
      <c r="C189" s="4"/>
      <c r="D189" s="4"/>
      <c r="E189" s="4" t="str">
        <f aca="false">IFERROR(INDEX(기록필요항목!$D$2:$D$19,MATCH(C189,기록필요항목!$C$2:$C$19,0)),"")</f>
        <v/>
      </c>
      <c r="F189" s="4"/>
    </row>
    <row r="190" customFormat="false" ht="15" hidden="false" customHeight="true" outlineLevel="0" collapsed="false">
      <c r="A190" s="4"/>
      <c r="B190" s="4" t="str">
        <f aca="false">IFERROR(INDEX(기록필요항목!$A$2:$A$19,MATCH(C190,기록필요항목!$C$2:$C$19,0)),"")</f>
        <v/>
      </c>
      <c r="C190" s="4"/>
      <c r="D190" s="4"/>
      <c r="E190" s="4" t="str">
        <f aca="false">IFERROR(INDEX(기록필요항목!$D$2:$D$19,MATCH(C190,기록필요항목!$C$2:$C$19,0)),"")</f>
        <v/>
      </c>
      <c r="F190" s="4"/>
    </row>
    <row r="191" customFormat="false" ht="15" hidden="false" customHeight="true" outlineLevel="0" collapsed="false">
      <c r="A191" s="4"/>
      <c r="B191" s="4" t="str">
        <f aca="false">IFERROR(INDEX(기록필요항목!$A$2:$A$19,MATCH(C191,기록필요항목!$C$2:$C$19,0)),"")</f>
        <v/>
      </c>
      <c r="C191" s="4"/>
      <c r="D191" s="4"/>
      <c r="E191" s="4" t="str">
        <f aca="false">IFERROR(INDEX(기록필요항목!$D$2:$D$19,MATCH(C191,기록필요항목!$C$2:$C$19,0)),"")</f>
        <v/>
      </c>
      <c r="F191" s="4"/>
    </row>
    <row r="192" customFormat="false" ht="15" hidden="false" customHeight="true" outlineLevel="0" collapsed="false">
      <c r="A192" s="4"/>
      <c r="B192" s="4" t="str">
        <f aca="false">IFERROR(INDEX(기록필요항목!$A$2:$A$19,MATCH(C192,기록필요항목!$C$2:$C$19,0)),"")</f>
        <v/>
      </c>
      <c r="C192" s="4"/>
      <c r="D192" s="4"/>
      <c r="E192" s="4" t="str">
        <f aca="false">IFERROR(INDEX(기록필요항목!$D$2:$D$19,MATCH(C192,기록필요항목!$C$2:$C$19,0)),"")</f>
        <v/>
      </c>
      <c r="F192" s="4"/>
    </row>
    <row r="193" customFormat="false" ht="15" hidden="false" customHeight="true" outlineLevel="0" collapsed="false">
      <c r="A193" s="4"/>
      <c r="B193" s="4" t="str">
        <f aca="false">IFERROR(INDEX(기록필요항목!$A$2:$A$19,MATCH(C193,기록필요항목!$C$2:$C$19,0)),"")</f>
        <v/>
      </c>
      <c r="C193" s="4"/>
      <c r="D193" s="4"/>
      <c r="E193" s="4" t="str">
        <f aca="false">IFERROR(INDEX(기록필요항목!$D$2:$D$19,MATCH(C193,기록필요항목!$C$2:$C$19,0)),"")</f>
        <v/>
      </c>
      <c r="F193" s="4"/>
    </row>
    <row r="194" customFormat="false" ht="15" hidden="false" customHeight="true" outlineLevel="0" collapsed="false">
      <c r="A194" s="4"/>
      <c r="B194" s="4" t="str">
        <f aca="false">IFERROR(INDEX(기록필요항목!$A$2:$A$19,MATCH(C194,기록필요항목!$C$2:$C$19,0)),"")</f>
        <v/>
      </c>
      <c r="C194" s="4"/>
      <c r="D194" s="4"/>
      <c r="E194" s="4" t="str">
        <f aca="false">IFERROR(INDEX(기록필요항목!$D$2:$D$19,MATCH(C194,기록필요항목!$C$2:$C$19,0)),"")</f>
        <v/>
      </c>
      <c r="F194" s="4"/>
    </row>
    <row r="195" customFormat="false" ht="15" hidden="false" customHeight="true" outlineLevel="0" collapsed="false">
      <c r="A195" s="4"/>
      <c r="B195" s="4" t="str">
        <f aca="false">IFERROR(INDEX(기록필요항목!$A$2:$A$19,MATCH(C195,기록필요항목!$C$2:$C$19,0)),"")</f>
        <v/>
      </c>
      <c r="C195" s="4"/>
      <c r="D195" s="4"/>
      <c r="E195" s="4" t="str">
        <f aca="false">IFERROR(INDEX(기록필요항목!$D$2:$D$19,MATCH(C195,기록필요항목!$C$2:$C$19,0)),"")</f>
        <v/>
      </c>
      <c r="F195" s="4"/>
    </row>
    <row r="196" customFormat="false" ht="15" hidden="false" customHeight="true" outlineLevel="0" collapsed="false">
      <c r="A196" s="4"/>
      <c r="B196" s="4" t="str">
        <f aca="false">IFERROR(INDEX(기록필요항목!$A$2:$A$19,MATCH(C196,기록필요항목!$C$2:$C$19,0)),"")</f>
        <v/>
      </c>
      <c r="C196" s="4"/>
      <c r="D196" s="4"/>
      <c r="E196" s="4" t="str">
        <f aca="false">IFERROR(INDEX(기록필요항목!$D$2:$D$19,MATCH(C196,기록필요항목!$C$2:$C$19,0)),"")</f>
        <v/>
      </c>
      <c r="F196" s="4"/>
    </row>
    <row r="197" customFormat="false" ht="15" hidden="false" customHeight="true" outlineLevel="0" collapsed="false">
      <c r="A197" s="4"/>
      <c r="B197" s="4" t="str">
        <f aca="false">IFERROR(INDEX(기록필요항목!$A$2:$A$19,MATCH(C197,기록필요항목!$C$2:$C$19,0)),"")</f>
        <v/>
      </c>
      <c r="C197" s="4"/>
      <c r="D197" s="4"/>
      <c r="E197" s="4" t="str">
        <f aca="false">IFERROR(INDEX(기록필요항목!$D$2:$D$19,MATCH(C197,기록필요항목!$C$2:$C$19,0)),"")</f>
        <v/>
      </c>
      <c r="F197" s="4"/>
    </row>
    <row r="198" customFormat="false" ht="15" hidden="false" customHeight="true" outlineLevel="0" collapsed="false">
      <c r="A198" s="4"/>
      <c r="B198" s="4" t="str">
        <f aca="false">IFERROR(INDEX(기록필요항목!$A$2:$A$19,MATCH(C198,기록필요항목!$C$2:$C$19,0)),"")</f>
        <v/>
      </c>
      <c r="C198" s="4"/>
      <c r="D198" s="4"/>
      <c r="E198" s="4" t="str">
        <f aca="false">IFERROR(INDEX(기록필요항목!$D$2:$D$19,MATCH(C198,기록필요항목!$C$2:$C$19,0)),"")</f>
        <v/>
      </c>
      <c r="F198" s="4"/>
    </row>
    <row r="199" customFormat="false" ht="15" hidden="false" customHeight="true" outlineLevel="0" collapsed="false">
      <c r="A199" s="4"/>
      <c r="B199" s="4" t="str">
        <f aca="false">IFERROR(INDEX(기록필요항목!$A$2:$A$19,MATCH(C199,기록필요항목!$C$2:$C$19,0)),"")</f>
        <v/>
      </c>
      <c r="C199" s="4"/>
      <c r="D199" s="4"/>
      <c r="E199" s="4" t="str">
        <f aca="false">IFERROR(INDEX(기록필요항목!$D$2:$D$19,MATCH(C199,기록필요항목!$C$2:$C$19,0)),"")</f>
        <v/>
      </c>
      <c r="F199" s="4"/>
    </row>
    <row r="200" customFormat="false" ht="15" hidden="false" customHeight="true" outlineLevel="0" collapsed="false">
      <c r="A200" s="4"/>
      <c r="B200" s="4" t="str">
        <f aca="false">IFERROR(INDEX(기록필요항목!$A$2:$A$19,MATCH(C200,기록필요항목!$C$2:$C$19,0)),"")</f>
        <v/>
      </c>
      <c r="C200" s="4"/>
      <c r="D200" s="4"/>
      <c r="E200" s="4" t="str">
        <f aca="false">IFERROR(INDEX(기록필요항목!$D$2:$D$19,MATCH(C200,기록필요항목!$C$2:$C$19,0)),"")</f>
        <v/>
      </c>
      <c r="F200" s="4"/>
    </row>
  </sheetData>
  <dataValidations count="1">
    <dataValidation allowBlank="true" errorStyle="stop" operator="between" showDropDown="false" showErrorMessage="false" showInputMessage="false" sqref="C2:C200" type="list">
      <formula1>기록필요항목!$C$2:$C$19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16.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79</v>
      </c>
      <c r="F1" s="2" t="s">
        <v>80</v>
      </c>
      <c r="G1" s="2" t="s">
        <v>81</v>
      </c>
      <c r="H1" s="2" t="s">
        <v>82</v>
      </c>
    </row>
    <row r="2" customFormat="false" ht="1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tr">
        <f aca="false">IF(F2="","",SUMPRODUCT((기록입력!$C$2:$C$200=C2)*(기록입력!$A$2:$A$200=F2)*기록입력!$D$2:$D$200))</f>
        <v/>
      </c>
      <c r="F2" s="8" t="str">
        <f aca="false">IFERROR(IF(_xlfn.MAXIFS(기록입력!$A$2:$A$200,기록입력!$C$2:$C$200,C2)=0,"",_xlfn.MAXIFS(기록입력!$A$2:$A$200,기록입력!$C$2:$C$200,C2)),"")</f>
        <v/>
      </c>
      <c r="G2" s="9"/>
      <c r="H2" s="10" t="str">
        <f aca="false">IFERROR(IF(OR(E2="",G2=""),"",E2/G2*100),"")</f>
        <v/>
      </c>
    </row>
    <row r="3" customFormat="false" ht="15" hidden="false" customHeight="true" outlineLevel="0" collapsed="false">
      <c r="A3" s="4" t="s">
        <v>7</v>
      </c>
      <c r="B3" s="4" t="s">
        <v>8</v>
      </c>
      <c r="C3" s="4" t="s">
        <v>14</v>
      </c>
      <c r="D3" s="4" t="s">
        <v>15</v>
      </c>
      <c r="E3" s="4" t="str">
        <f aca="false">IF(F3="","",SUMPRODUCT((기록입력!$C$2:$C$200=C3)*(기록입력!$A$2:$A$200=F3)*기록입력!$D$2:$D$200))</f>
        <v/>
      </c>
      <c r="F3" s="8" t="str">
        <f aca="false">IFERROR(IF(_xlfn.MAXIFS(기록입력!$A$2:$A$200,기록입력!$C$2:$C$200,C3)=0,"",_xlfn.MAXIFS(기록입력!$A$2:$A$200,기록입력!$C$2:$C$200,C3)),"")</f>
        <v/>
      </c>
      <c r="G3" s="9"/>
      <c r="H3" s="10" t="str">
        <f aca="false">IFERROR(IF(OR(E3="",G3=""),"",E3/G3*100),"")</f>
        <v/>
      </c>
    </row>
    <row r="4" customFormat="false" ht="15" hidden="false" customHeight="true" outlineLevel="0" collapsed="false">
      <c r="A4" s="4" t="s">
        <v>7</v>
      </c>
      <c r="B4" s="4" t="s">
        <v>8</v>
      </c>
      <c r="C4" s="4" t="s">
        <v>18</v>
      </c>
      <c r="D4" s="4" t="s">
        <v>19</v>
      </c>
      <c r="E4" s="4" t="str">
        <f aca="false">IF(F4="","",SUMPRODUCT((기록입력!$C$2:$C$200=C4)*(기록입력!$A$2:$A$200=F4)*기록입력!$D$2:$D$200))</f>
        <v/>
      </c>
      <c r="F4" s="8" t="str">
        <f aca="false">IFERROR(IF(_xlfn.MAXIFS(기록입력!$A$2:$A$200,기록입력!$C$2:$C$200,C4)=0,"",_xlfn.MAXIFS(기록입력!$A$2:$A$200,기록입력!$C$2:$C$200,C4)),"")</f>
        <v/>
      </c>
      <c r="G4" s="9"/>
      <c r="H4" s="10" t="str">
        <f aca="false">IFERROR(IF(OR(E4="",G4=""),"",E4/G4*100),"")</f>
        <v/>
      </c>
    </row>
    <row r="5" customFormat="false" ht="15" hidden="false" customHeight="true" outlineLevel="0" collapsed="false">
      <c r="A5" s="4" t="s">
        <v>21</v>
      </c>
      <c r="B5" s="4" t="s">
        <v>22</v>
      </c>
      <c r="C5" s="4" t="s">
        <v>23</v>
      </c>
      <c r="D5" s="6" t="s">
        <v>24</v>
      </c>
      <c r="E5" s="4" t="str">
        <f aca="false">IF(F5="","",SUMPRODUCT((기록입력!$C$2:$C$200=C5)*(기록입력!$A$2:$A$200=F5)*기록입력!$D$2:$D$200))</f>
        <v/>
      </c>
      <c r="F5" s="8" t="str">
        <f aca="false">IFERROR(IF(_xlfn.MAXIFS(기록입력!$A$2:$A$200,기록입력!$C$2:$C$200,C5)=0,"",_xlfn.MAXIFS(기록입력!$A$2:$A$200,기록입력!$C$2:$C$200,C5)),"")</f>
        <v/>
      </c>
      <c r="G5" s="9"/>
      <c r="H5" s="10" t="str">
        <f aca="false">IFERROR(IF(OR(E5="",G5=""),"",E5/G5*100),"")</f>
        <v/>
      </c>
    </row>
    <row r="6" customFormat="false" ht="15" hidden="false" customHeight="true" outlineLevel="0" collapsed="false">
      <c r="A6" s="4" t="s">
        <v>26</v>
      </c>
      <c r="B6" s="4" t="s">
        <v>27</v>
      </c>
      <c r="C6" s="4" t="s">
        <v>28</v>
      </c>
      <c r="D6" s="6" t="s">
        <v>29</v>
      </c>
      <c r="E6" s="4" t="str">
        <f aca="false">IF(F6="","",SUMPRODUCT((기록입력!$C$2:$C$200=C6)*(기록입력!$A$2:$A$200=F6)*기록입력!$D$2:$D$200))</f>
        <v/>
      </c>
      <c r="F6" s="8" t="str">
        <f aca="false">IFERROR(IF(_xlfn.MAXIFS(기록입력!$A$2:$A$200,기록입력!$C$2:$C$200,C6)=0,"",_xlfn.MAXIFS(기록입력!$A$2:$A$200,기록입력!$C$2:$C$200,C6)),"")</f>
        <v/>
      </c>
      <c r="G6" s="9"/>
      <c r="H6" s="10" t="str">
        <f aca="false">IFERROR(IF(OR(E6="",G6=""),"",E6/G6*100),"")</f>
        <v/>
      </c>
    </row>
    <row r="7" customFormat="false" ht="15" hidden="false" customHeight="true" outlineLevel="0" collapsed="false">
      <c r="A7" s="4" t="s">
        <v>26</v>
      </c>
      <c r="B7" s="4" t="s">
        <v>27</v>
      </c>
      <c r="C7" s="4" t="s">
        <v>31</v>
      </c>
      <c r="D7" s="6" t="s">
        <v>29</v>
      </c>
      <c r="E7" s="4" t="str">
        <f aca="false">IF(F7="","",SUMPRODUCT((기록입력!$C$2:$C$200=C7)*(기록입력!$A$2:$A$200=F7)*기록입력!$D$2:$D$200))</f>
        <v/>
      </c>
      <c r="F7" s="8" t="str">
        <f aca="false">IFERROR(IF(_xlfn.MAXIFS(기록입력!$A$2:$A$200,기록입력!$C$2:$C$200,C7)=0,"",_xlfn.MAXIFS(기록입력!$A$2:$A$200,기록입력!$C$2:$C$200,C7)),"")</f>
        <v/>
      </c>
      <c r="G7" s="9"/>
      <c r="H7" s="10" t="str">
        <f aca="false">IFERROR(IF(OR(E7="",G7=""),"",E7/G7*100),"")</f>
        <v/>
      </c>
    </row>
    <row r="8" customFormat="false" ht="15" hidden="false" customHeight="true" outlineLevel="0" collapsed="false">
      <c r="A8" s="4" t="s">
        <v>33</v>
      </c>
      <c r="B8" s="4" t="s">
        <v>27</v>
      </c>
      <c r="C8" s="4" t="s">
        <v>34</v>
      </c>
      <c r="D8" s="4" t="s">
        <v>10</v>
      </c>
      <c r="E8" s="4" t="n">
        <f aca="false">IF(F8="","",SUMPRODUCT((기록입력!$C$2:$C$200=C8)*(기록입력!$A$2:$A$200=F8)*기록입력!$D$2:$D$200))</f>
        <v>28</v>
      </c>
      <c r="F8" s="8" t="n">
        <f aca="false">IFERROR(IF(_xlfn.MAXIFS(기록입력!$A$2:$A$200,기록입력!$C$2:$C$200,C8)=0,"",_xlfn.MAXIFS(기록입력!$A$2:$A$200,기록입력!$C$2:$C$200,C8)),"")</f>
        <v>46221</v>
      </c>
      <c r="G8" s="9"/>
      <c r="H8" s="10" t="str">
        <f aca="false">IFERROR(IF(OR(E8="",G8=""),"",E8/G8*100),"")</f>
        <v/>
      </c>
    </row>
    <row r="9" customFormat="false" ht="15" hidden="false" customHeight="true" outlineLevel="0" collapsed="false">
      <c r="A9" s="4" t="s">
        <v>37</v>
      </c>
      <c r="B9" s="4" t="s">
        <v>27</v>
      </c>
      <c r="C9" s="4" t="s">
        <v>38</v>
      </c>
      <c r="D9" s="4" t="s">
        <v>10</v>
      </c>
      <c r="E9" s="4" t="str">
        <f aca="false">IF(F9="","",SUMPRODUCT((기록입력!$C$2:$C$200=C9)*(기록입력!$A$2:$A$200=F9)*기록입력!$D$2:$D$200))</f>
        <v/>
      </c>
      <c r="F9" s="8" t="str">
        <f aca="false">IFERROR(IF(_xlfn.MAXIFS(기록입력!$A$2:$A$200,기록입력!$C$2:$C$200,C9)=0,"",_xlfn.MAXIFS(기록입력!$A$2:$A$200,기록입력!$C$2:$C$200,C9)),"")</f>
        <v/>
      </c>
      <c r="G9" s="9"/>
      <c r="H9" s="10" t="str">
        <f aca="false">IFERROR(IF(OR(E9="",G9=""),"",E9/G9*100),"")</f>
        <v/>
      </c>
    </row>
    <row r="10" customFormat="false" ht="15" hidden="false" customHeight="true" outlineLevel="0" collapsed="false">
      <c r="A10" s="4" t="s">
        <v>37</v>
      </c>
      <c r="B10" s="4" t="s">
        <v>27</v>
      </c>
      <c r="C10" s="4" t="s">
        <v>40</v>
      </c>
      <c r="D10" s="4" t="s">
        <v>41</v>
      </c>
      <c r="E10" s="4" t="n">
        <f aca="false">IF(F10="","",SUMPRODUCT((기록입력!$C$2:$C$200=C10)*(기록입력!$A$2:$A$200=F10)*기록입력!$D$2:$D$200))</f>
        <v>65</v>
      </c>
      <c r="F10" s="8" t="n">
        <f aca="false">IFERROR(IF(_xlfn.MAXIFS(기록입력!$A$2:$A$200,기록입력!$C$2:$C$200,C10)=0,"",_xlfn.MAXIFS(기록입력!$A$2:$A$200,기록입력!$C$2:$C$200,C10)),"")</f>
        <v>46221</v>
      </c>
      <c r="G10" s="9"/>
      <c r="H10" s="10" t="str">
        <f aca="false">IFERROR(IF(OR(E10="",G10=""),"",E10/G10*100),"")</f>
        <v/>
      </c>
    </row>
    <row r="11" customFormat="false" ht="15" hidden="false" customHeight="true" outlineLevel="0" collapsed="false">
      <c r="A11" s="4" t="s">
        <v>43</v>
      </c>
      <c r="B11" s="4" t="s">
        <v>44</v>
      </c>
      <c r="C11" s="4" t="s">
        <v>45</v>
      </c>
      <c r="D11" s="6" t="s">
        <v>24</v>
      </c>
      <c r="E11" s="4" t="n">
        <f aca="false">IF(F11="","",SUMPRODUCT((기록입력!$C$2:$C$200=C11)*(기록입력!$A$2:$A$200=F11)*기록입력!$D$2:$D$200))</f>
        <v>190</v>
      </c>
      <c r="F11" s="8" t="n">
        <f aca="false">IFERROR(IF(_xlfn.MAXIFS(기록입력!$A$2:$A$200,기록입력!$C$2:$C$200,C11)=0,"",_xlfn.MAXIFS(기록입력!$A$2:$A$200,기록입력!$C$2:$C$200,C11)),"")</f>
        <v>46207</v>
      </c>
      <c r="G11" s="9"/>
      <c r="H11" s="10" t="str">
        <f aca="false">IFERROR(IF(OR(E11="",G11=""),"",E11/G11*100),"")</f>
        <v/>
      </c>
    </row>
    <row r="12" customFormat="false" ht="15" hidden="false" customHeight="true" outlineLevel="0" collapsed="false">
      <c r="A12" s="4" t="s">
        <v>47</v>
      </c>
      <c r="B12" s="4" t="s">
        <v>48</v>
      </c>
      <c r="C12" s="4" t="s">
        <v>49</v>
      </c>
      <c r="D12" s="6" t="s">
        <v>29</v>
      </c>
      <c r="E12" s="4" t="str">
        <f aca="false">IF(F12="","",SUMPRODUCT((기록입력!$C$2:$C$200=C12)*(기록입력!$A$2:$A$200=F12)*기록입력!$D$2:$D$200))</f>
        <v/>
      </c>
      <c r="F12" s="8" t="str">
        <f aca="false">IFERROR(IF(_xlfn.MAXIFS(기록입력!$A$2:$A$200,기록입력!$C$2:$C$200,C12)=0,"",_xlfn.MAXIFS(기록입력!$A$2:$A$200,기록입력!$C$2:$C$200,C12)),"")</f>
        <v/>
      </c>
      <c r="G12" s="9"/>
      <c r="H12" s="10" t="str">
        <f aca="false">IFERROR(IF(OR(E12="",G12=""),"",E12/G12*100),"")</f>
        <v/>
      </c>
    </row>
    <row r="13" customFormat="false" ht="15" hidden="false" customHeight="true" outlineLevel="0" collapsed="false">
      <c r="A13" s="4" t="s">
        <v>47</v>
      </c>
      <c r="B13" s="4" t="s">
        <v>48</v>
      </c>
      <c r="C13" s="6" t="s">
        <v>53</v>
      </c>
      <c r="D13" s="6" t="s">
        <v>54</v>
      </c>
      <c r="E13" s="4" t="str">
        <f aca="false">IF(F13="","",SUMPRODUCT((기록입력!$C$2:$C$200=C13)*(기록입력!$A$2:$A$200=F13)*기록입력!$D$2:$D$200))</f>
        <v/>
      </c>
      <c r="F13" s="8" t="str">
        <f aca="false">IFERROR(IF(_xlfn.MAXIFS(기록입력!$A$2:$A$200,기록입력!$C$2:$C$200,C13)=0,"",_xlfn.MAXIFS(기록입력!$A$2:$A$200,기록입력!$C$2:$C$200,C13)),"")</f>
        <v/>
      </c>
      <c r="G13" s="9"/>
      <c r="H13" s="10" t="str">
        <f aca="false">IFERROR(IF(OR(E13="",G13=""),"",E13/G13*100),"")</f>
        <v/>
      </c>
    </row>
    <row r="14" customFormat="false" ht="15" hidden="false" customHeight="true" outlineLevel="0" collapsed="false">
      <c r="A14" s="4" t="s">
        <v>47</v>
      </c>
      <c r="B14" s="4" t="s">
        <v>48</v>
      </c>
      <c r="C14" s="4" t="s">
        <v>56</v>
      </c>
      <c r="D14" s="6" t="s">
        <v>57</v>
      </c>
      <c r="E14" s="4" t="str">
        <f aca="false">IF(F14="","",SUMPRODUCT((기록입력!$C$2:$C$200=C14)*(기록입력!$A$2:$A$200=F14)*기록입력!$D$2:$D$200))</f>
        <v/>
      </c>
      <c r="F14" s="8" t="str">
        <f aca="false">IFERROR(IF(_xlfn.MAXIFS(기록입력!$A$2:$A$200,기록입력!$C$2:$C$200,C14)=0,"",_xlfn.MAXIFS(기록입력!$A$2:$A$200,기록입력!$C$2:$C$200,C14)),"")</f>
        <v/>
      </c>
      <c r="G14" s="9"/>
      <c r="H14" s="10" t="str">
        <f aca="false">IFERROR(IF(OR(E14="",G14=""),"",E14/G14*100),"")</f>
        <v/>
      </c>
    </row>
    <row r="15" customFormat="false" ht="15" hidden="false" customHeight="true" outlineLevel="0" collapsed="false">
      <c r="A15" s="4" t="s">
        <v>47</v>
      </c>
      <c r="B15" s="4" t="s">
        <v>48</v>
      </c>
      <c r="C15" s="4" t="s">
        <v>59</v>
      </c>
      <c r="D15" s="6" t="s">
        <v>24</v>
      </c>
      <c r="E15" s="4" t="str">
        <f aca="false">IF(F15="","",SUMPRODUCT((기록입력!$C$2:$C$200=C15)*(기록입력!$A$2:$A$200=F15)*기록입력!$D$2:$D$200))</f>
        <v/>
      </c>
      <c r="F15" s="8" t="str">
        <f aca="false">IFERROR(IF(_xlfn.MAXIFS(기록입력!$A$2:$A$200,기록입력!$C$2:$C$200,C15)=0,"",_xlfn.MAXIFS(기록입력!$A$2:$A$200,기록입력!$C$2:$C$200,C15)),"")</f>
        <v/>
      </c>
      <c r="G15" s="9"/>
      <c r="H15" s="10" t="str">
        <f aca="false">IFERROR(IF(OR(E15="",G15=""),"",E15/G15*100),"")</f>
        <v/>
      </c>
    </row>
    <row r="16" customFormat="false" ht="15" hidden="false" customHeight="true" outlineLevel="0" collapsed="false">
      <c r="A16" s="4" t="s">
        <v>61</v>
      </c>
      <c r="B16" s="4" t="s">
        <v>62</v>
      </c>
      <c r="C16" s="4" t="s">
        <v>63</v>
      </c>
      <c r="D16" s="4" t="s">
        <v>10</v>
      </c>
      <c r="E16" s="4" t="str">
        <f aca="false">IF(F16="","",SUMPRODUCT((기록입력!$C$2:$C$200=C16)*(기록입력!$A$2:$A$200=F16)*기록입력!$D$2:$D$200))</f>
        <v/>
      </c>
      <c r="F16" s="8" t="str">
        <f aca="false">IFERROR(IF(_xlfn.MAXIFS(기록입력!$A$2:$A$200,기록입력!$C$2:$C$200,C16)=0,"",_xlfn.MAXIFS(기록입력!$A$2:$A$200,기록입력!$C$2:$C$200,C16)),"")</f>
        <v/>
      </c>
      <c r="G16" s="9"/>
      <c r="H16" s="10" t="str">
        <f aca="false">IFERROR(IF(OR(E16="",G16=""),"",E16/G16*100),"")</f>
        <v/>
      </c>
    </row>
    <row r="17" customFormat="false" ht="15" hidden="false" customHeight="true" outlineLevel="0" collapsed="false">
      <c r="A17" s="4" t="s">
        <v>65</v>
      </c>
      <c r="B17" s="4" t="s">
        <v>62</v>
      </c>
      <c r="C17" s="4" t="s">
        <v>66</v>
      </c>
      <c r="D17" s="4" t="s">
        <v>10</v>
      </c>
      <c r="E17" s="4" t="str">
        <f aca="false">IF(F17="","",SUMPRODUCT((기록입력!$C$2:$C$200=C17)*(기록입력!$A$2:$A$200=F17)*기록입력!$D$2:$D$200))</f>
        <v/>
      </c>
      <c r="F17" s="8" t="str">
        <f aca="false">IFERROR(IF(_xlfn.MAXIFS(기록입력!$A$2:$A$200,기록입력!$C$2:$C$200,C17)=0,"",_xlfn.MAXIFS(기록입력!$A$2:$A$200,기록입력!$C$2:$C$200,C17)),"")</f>
        <v/>
      </c>
      <c r="G17" s="9"/>
      <c r="H17" s="10" t="str">
        <f aca="false">IFERROR(IF(OR(E17="",G17=""),"",E17/G17*100),"")</f>
        <v/>
      </c>
    </row>
    <row r="18" customFormat="false" ht="15" hidden="false" customHeight="true" outlineLevel="0" collapsed="false">
      <c r="A18" s="4" t="s">
        <v>67</v>
      </c>
      <c r="B18" s="4" t="s">
        <v>62</v>
      </c>
      <c r="C18" s="4" t="s">
        <v>68</v>
      </c>
      <c r="D18" s="4" t="s">
        <v>41</v>
      </c>
      <c r="E18" s="4" t="str">
        <f aca="false">IF(F18="","",SUMPRODUCT((기록입력!$C$2:$C$200=C18)*(기록입력!$A$2:$A$200=F18)*기록입력!$D$2:$D$200))</f>
        <v/>
      </c>
      <c r="F18" s="8" t="str">
        <f aca="false">IFERROR(IF(_xlfn.MAXIFS(기록입력!$A$2:$A$200,기록입력!$C$2:$C$200,C18)=0,"",_xlfn.MAXIFS(기록입력!$A$2:$A$200,기록입력!$C$2:$C$200,C18)),"")</f>
        <v/>
      </c>
      <c r="G18" s="9"/>
      <c r="H18" s="10" t="str">
        <f aca="false">IFERROR(IF(OR(E18="",G18=""),"",E18/G18*100),"")</f>
        <v/>
      </c>
    </row>
    <row r="19" customFormat="false" ht="15" hidden="false" customHeight="true" outlineLevel="0" collapsed="false">
      <c r="A19" s="4" t="s">
        <v>70</v>
      </c>
      <c r="B19" s="4" t="s">
        <v>62</v>
      </c>
      <c r="C19" s="4" t="s">
        <v>71</v>
      </c>
      <c r="D19" s="4" t="s">
        <v>10</v>
      </c>
      <c r="E19" s="4" t="str">
        <f aca="false">IF(F19="","",SUMPRODUCT((기록입력!$C$2:$C$200=C19)*(기록입력!$A$2:$A$200=F19)*기록입력!$D$2:$D$200))</f>
        <v/>
      </c>
      <c r="F19" s="8" t="str">
        <f aca="false">IFERROR(IF(_xlfn.MAXIFS(기록입력!$A$2:$A$200,기록입력!$C$2:$C$200,C19)=0,"",_xlfn.MAXIFS(기록입력!$A$2:$A$200,기록입력!$C$2:$C$200,C19)),"")</f>
        <v/>
      </c>
      <c r="G19" s="9"/>
      <c r="H19" s="10" t="str">
        <f aca="false">IFERROR(IF(OR(E19="",G19=""),"",E19/G19*100),"")</f>
        <v/>
      </c>
    </row>
    <row r="21" customFormat="false" ht="15" hidden="false" customHeight="true" outlineLevel="0" collapsed="false">
      <c r="A21" s="7" t="s">
        <v>83</v>
      </c>
    </row>
    <row r="22" customFormat="false" ht="15" hidden="false" customHeight="true" outlineLevel="0" collapsed="false">
      <c r="A22" s="1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2026-07-18T06:41:02Z</dcterms:created>
  <dc:creator>openpyxl</dc:creator>
  <dc:description/>
  <dc:language>en-US</dc:language>
  <cp:lastModifiedBy/>
  <dcterms:modified xsi:type="dcterms:W3CDTF">2026-07-18T06:41:21Z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